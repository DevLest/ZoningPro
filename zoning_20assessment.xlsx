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ial-200K+" sheetId="1" r:id="rId4"/>
    <sheet state="visible" name="LC_Application" sheetId="2" r:id="rId5"/>
    <sheet state="visible" name="Residential-100K+" sheetId="3" r:id="rId6"/>
    <sheet state="visible" name="Residential-100K" sheetId="4" r:id="rId7"/>
    <sheet state="visible" name="ApartmentTownhouse-2M+" sheetId="5" r:id="rId8"/>
    <sheet state="visible" name="ApartmentTownhouse-500K+" sheetId="6" r:id="rId9"/>
    <sheet state="visible" name="ApartmentTownhouse-500K" sheetId="7" r:id="rId10"/>
    <sheet state="visible" name="Dormitories-2M+" sheetId="8" r:id="rId11"/>
    <sheet state="visible" name="Dormitories-2M" sheetId="9" r:id="rId12"/>
    <sheet state="visible" name="Comml,Indl,AgroIndl-2M+" sheetId="10" r:id="rId13"/>
    <sheet state="visible" name="Comml,Indl,AgroInd-1M+" sheetId="11" r:id="rId14"/>
    <sheet state="visible" name="Comml,Indl,AgroInd-500K+" sheetId="12" r:id="rId15"/>
    <sheet state="visible" name="Comml,Indl,AgroInd-100K+" sheetId="13" r:id="rId16"/>
    <sheet state="visible" name="Comml,Indl,AgroInd-100K" sheetId="14" r:id="rId17"/>
    <sheet state="visible" name="Institutional-2M+" sheetId="15" r:id="rId18"/>
    <sheet state="visible" name="Institutional-2M" sheetId="16" r:id="rId19"/>
    <sheet state="visible" name="SpecialUse-2M+" sheetId="17" r:id="rId20"/>
    <sheet state="visible" name="SpecialUse-2M" sheetId="18" r:id="rId21"/>
    <sheet state="visible" name="CERTIFICATION ONLY" sheetId="19" r:id="rId22"/>
    <sheet state="visible" name="CERTIFICATION ONLY (2)" sheetId="20" r:id="rId23"/>
    <sheet state="visible" name="Sheet3" sheetId="21" r:id="rId24"/>
    <sheet state="visible" name="SUM" sheetId="22" r:id="rId25"/>
  </sheets>
  <externalReferences>
    <externalReference r:id="rId26"/>
  </externalReferences>
  <definedNames/>
  <calcPr/>
</workbook>
</file>

<file path=xl/sharedStrings.xml><?xml version="1.0" encoding="utf-8"?>
<sst xmlns="http://schemas.openxmlformats.org/spreadsheetml/2006/main" count="1465" uniqueCount="232">
  <si>
    <t>Republic of the Philippines</t>
  </si>
  <si>
    <t>Municipality of Binalbagan</t>
  </si>
  <si>
    <t>MUNICIPAL PLANNING &amp; DEVELOPMENT OFFICE</t>
  </si>
  <si>
    <t>OWNER'S COPY</t>
  </si>
  <si>
    <t>FILE COPY</t>
  </si>
  <si>
    <t>Date:</t>
  </si>
  <si>
    <t>Oct-20,2022</t>
  </si>
  <si>
    <t>CTRL. No.</t>
  </si>
  <si>
    <t>2022-53-R</t>
  </si>
  <si>
    <t xml:space="preserve">  </t>
  </si>
  <si>
    <t>APPLICATION FOR LOCATIONAL CLEARANCE</t>
  </si>
  <si>
    <t>Computation Slip</t>
  </si>
  <si>
    <t>Applicant:</t>
  </si>
  <si>
    <t>Nelia T. Resuma</t>
  </si>
  <si>
    <t xml:space="preserve"> </t>
  </si>
  <si>
    <t>Address:</t>
  </si>
  <si>
    <t>Brgy. Progreso</t>
  </si>
  <si>
    <t>Project:</t>
  </si>
  <si>
    <t>Proposed Construction of 1-Storey, 2 Bedroom Residence</t>
  </si>
  <si>
    <t>Location:</t>
  </si>
  <si>
    <t>Brgy. Progreso, Binalbagan, Negros Occidental</t>
  </si>
  <si>
    <t>Lot Area:</t>
  </si>
  <si>
    <t>SQ. Meters</t>
  </si>
  <si>
    <t>Project Type:</t>
  </si>
  <si>
    <t>RESIDENTIAL</t>
  </si>
  <si>
    <t>Project Cost:</t>
  </si>
  <si>
    <t>P</t>
  </si>
  <si>
    <t>ASSESSMENT</t>
  </si>
  <si>
    <t>FEES:</t>
  </si>
  <si>
    <t>excess of 200K</t>
  </si>
  <si>
    <t>LC Fee :</t>
  </si>
  <si>
    <t>1% of Cost</t>
  </si>
  <si>
    <t>Surcharge:</t>
  </si>
  <si>
    <t>1 tenth</t>
  </si>
  <si>
    <t>Zoning Certification:</t>
  </si>
  <si>
    <t>Total Assessment:</t>
  </si>
  <si>
    <t>Assessed:</t>
  </si>
  <si>
    <t>Approved:</t>
  </si>
  <si>
    <t>PEARL ANGELI P. FUENTES,EnP</t>
  </si>
  <si>
    <t>excess of 200k</t>
  </si>
  <si>
    <t>Zoning Administrator</t>
  </si>
  <si>
    <t>Note:</t>
  </si>
  <si>
    <t xml:space="preserve">   </t>
  </si>
  <si>
    <t>Please pay at the Municipal Treasurer's Office</t>
  </si>
  <si>
    <t>LC-Ctrl-No.</t>
  </si>
  <si>
    <t>Date of Application</t>
  </si>
  <si>
    <t>Name of Applicant</t>
  </si>
  <si>
    <t>Address</t>
  </si>
  <si>
    <t>Name of Project</t>
  </si>
  <si>
    <t>Project location</t>
  </si>
  <si>
    <t>Doc. Requirements</t>
  </si>
  <si>
    <t>Lc Status</t>
  </si>
  <si>
    <t>Date Granted</t>
  </si>
  <si>
    <t>LC Fees</t>
  </si>
  <si>
    <t>ZC Fees</t>
  </si>
  <si>
    <t>Surcharge</t>
  </si>
  <si>
    <t>Total</t>
  </si>
  <si>
    <t>2026-01-R</t>
  </si>
  <si>
    <t>Joross Zamoraga</t>
  </si>
  <si>
    <t>Brgy.Binicuil, Kabankalan City</t>
  </si>
  <si>
    <t>LC-36-2022</t>
  </si>
  <si>
    <t>Jose L. Yulo, Benjamin L. Yulo &amp; Trinidad L. Yulo</t>
  </si>
  <si>
    <t>ESPINOS VILLAGE PHASE I, BACOLOD CITY</t>
  </si>
  <si>
    <t>BLOCK 14 (LOT 39-B-2-B PT Brgy. Sto. Rosario, BNO</t>
  </si>
  <si>
    <t>.</t>
  </si>
  <si>
    <t>LC-33-2022</t>
  </si>
  <si>
    <t>MARIA VICTORIA P. BLANCA</t>
  </si>
  <si>
    <t>Villa Sta. Maria Subd.(P1), B.N.O.</t>
  </si>
  <si>
    <t>Proposed One Storey Residence</t>
  </si>
  <si>
    <t>Lot 16 Blk.6, San Gregorio Village, B.N.O.</t>
  </si>
  <si>
    <t>Ar. Eugene A. Saligumba, UAP</t>
  </si>
  <si>
    <t>Planning Staff</t>
  </si>
  <si>
    <t xml:space="preserve"> Zoning Administrator Designate</t>
  </si>
  <si>
    <t>Christopher E. Rufo</t>
  </si>
  <si>
    <t>Lot 13 Block 12, Villa Sta. Maria Phase 1, Sto. Rosario</t>
  </si>
  <si>
    <t>Sept.10,2019</t>
  </si>
  <si>
    <t>LC-19-00001</t>
  </si>
  <si>
    <t>NEIL JOHN BANDOLA</t>
  </si>
  <si>
    <t>PRK. TUMPOK, BRGY LABUGAY</t>
  </si>
  <si>
    <t>APARTMENT/TOWNHOUSE</t>
  </si>
  <si>
    <t>excess of 2M</t>
  </si>
  <si>
    <t>July 23,2021</t>
  </si>
  <si>
    <t>LC-37-2001</t>
  </si>
  <si>
    <t>Brgy. Paglaum 1, B.N.O.</t>
  </si>
  <si>
    <t>Construction of Two- Store Residence</t>
  </si>
  <si>
    <t>Lot29 Blk.12, (P1)Villa Sta. Maria Subd., Brgy. San Teodoro</t>
  </si>
  <si>
    <t>Sept. 15, 2020</t>
  </si>
  <si>
    <t>LC-20-00089</t>
  </si>
  <si>
    <t>PETER CLAY GANZA TONOGBANUA</t>
  </si>
  <si>
    <t>Lot4 Blk.5, Carmenville Subd., Brgy. Enclaro, B.N.O</t>
  </si>
  <si>
    <t>ONE-STOREY RESIDENCE</t>
  </si>
  <si>
    <t>January 12,2021</t>
  </si>
  <si>
    <t>LC-21-0004</t>
  </si>
  <si>
    <t>JLL AGRICULTURAL AND DEVT. CORP</t>
  </si>
  <si>
    <t>Mt. Carmel Arcade,Brgy. Progreso, B.N.O.</t>
  </si>
  <si>
    <t>Const. of Single Storey Commercial Bldg.</t>
  </si>
  <si>
    <t>Lot 11, Carmen Streer, Brgy. Progreso</t>
  </si>
  <si>
    <t>DORMITORIES</t>
  </si>
  <si>
    <t>Dec. 11, 2021</t>
  </si>
  <si>
    <t>LC-21-003</t>
  </si>
  <si>
    <t>Nanette B. Verde</t>
  </si>
  <si>
    <t>Don Pedro Yulo Ave, Brgy. San Pedro</t>
  </si>
  <si>
    <t>Proposed Commercial Buiding</t>
  </si>
  <si>
    <t>Brgy. San Pedro, B.N.O.</t>
  </si>
  <si>
    <t>Acting Zoning Administrator</t>
  </si>
  <si>
    <t>August 18, 2022</t>
  </si>
  <si>
    <t>LC-45-2022</t>
  </si>
  <si>
    <t>Rovelyn C. Dalumpines</t>
  </si>
  <si>
    <t>Brgy. Sto. Rosario, BNO</t>
  </si>
  <si>
    <t>Construction of 2-Storey Commercial Building</t>
  </si>
  <si>
    <t>Portion of Lot 47-A,( PSD- Brgy. San Jose</t>
  </si>
  <si>
    <t>SPECIAL USE</t>
  </si>
  <si>
    <t>November 14, 2022</t>
  </si>
  <si>
    <t>BRICOLAGE PHILIPPINES INC.</t>
  </si>
  <si>
    <t>COMMERCIAL</t>
  </si>
  <si>
    <t>October 10/2022</t>
  </si>
  <si>
    <t>LC-51-C</t>
  </si>
  <si>
    <t>MAY ANN V. PLANTALON</t>
  </si>
  <si>
    <t>Brgy. San Jose, Binalbagan Neg. Occ.</t>
  </si>
  <si>
    <t>Water Refilling Station</t>
  </si>
  <si>
    <t>Lot 225-A  Brgy.  Bagroy, BNO</t>
  </si>
  <si>
    <t>COMM'L/INDUS./AGRO-INDUS.</t>
  </si>
  <si>
    <t>October 10,2022</t>
  </si>
  <si>
    <t>Brgy. San Jose, Binalbagan Negros Occ.</t>
  </si>
  <si>
    <t xml:space="preserve"> Zoning Administrator</t>
  </si>
  <si>
    <t>Sept. 22, 2022</t>
  </si>
  <si>
    <t>Jovita T. Dela Cruz</t>
  </si>
  <si>
    <t>Brgy. Enclaro</t>
  </si>
  <si>
    <t>One Storey Commercial Water Refilling Station</t>
  </si>
  <si>
    <t>Lot 99-B-1-A, Title TCT-091-2017008137 Brgy. Enclaro</t>
  </si>
  <si>
    <t>Feb.7, 2021</t>
  </si>
  <si>
    <t>LC-022-005</t>
  </si>
  <si>
    <t>Carlos Hilado Memorial State College</t>
  </si>
  <si>
    <t>So. Pasil, Brgy. Enclaro, Bin., Neg. Occ.</t>
  </si>
  <si>
    <t>Prop.Library Extension Binalbagan Campus</t>
  </si>
  <si>
    <t>CHMSC Compound, So. Pasil, Enclaro</t>
  </si>
  <si>
    <t>INSTITUTIONAL</t>
  </si>
  <si>
    <t>b</t>
  </si>
  <si>
    <t>Dec. 1,2021</t>
  </si>
  <si>
    <t>LC-21-0062</t>
  </si>
  <si>
    <t>DITO TELECOMMUNICATION CORP.</t>
  </si>
  <si>
    <t>11th flr. Udenia towe,BGC,Taguig City</t>
  </si>
  <si>
    <t>Const. of Self Supporting Tower</t>
  </si>
  <si>
    <t>Prk. Gumamela, Brgy. Enclaro, B.N.O.</t>
  </si>
  <si>
    <t>SPECIAL USES</t>
  </si>
  <si>
    <t>August 24,2022</t>
  </si>
  <si>
    <t>LC-46-2022</t>
  </si>
  <si>
    <t>RAMSY C. MESICULA</t>
  </si>
  <si>
    <t>Brgy. Calapi, Hinigaran, Negros  Occidental</t>
  </si>
  <si>
    <t>Proposed Gas Refilling Station</t>
  </si>
  <si>
    <t>Portion of Lot 147-A, Brgy. San Jose, B.N.O.</t>
  </si>
  <si>
    <t>Zoning Administrator Designate</t>
  </si>
  <si>
    <t>Sep. 13, 2022</t>
  </si>
  <si>
    <t>2022-11-ZC</t>
  </si>
  <si>
    <t>ZONING CERTIFICATION</t>
  </si>
  <si>
    <t>Ma. Elena Alarcon</t>
  </si>
  <si>
    <t>Brgy. Canmoros, Binalbagan Negros Occidental</t>
  </si>
  <si>
    <t>Titling</t>
  </si>
  <si>
    <t>LOT 1-91,  Brgy. Canmoros, Bin. Neg. Occ.</t>
  </si>
  <si>
    <t>Certification only</t>
  </si>
  <si>
    <t>Availability of Records:</t>
  </si>
  <si>
    <t>area =</t>
  </si>
  <si>
    <t>Sep. 20, 2022</t>
  </si>
  <si>
    <t>CTRL #</t>
  </si>
  <si>
    <t>CLASS</t>
  </si>
  <si>
    <t>APPLICANT</t>
  </si>
  <si>
    <t>ADDRESS</t>
  </si>
  <si>
    <t>LOCATION</t>
  </si>
  <si>
    <t>AMOUNT</t>
  </si>
  <si>
    <t>R</t>
  </si>
  <si>
    <t>Glazelle U. Flores</t>
  </si>
  <si>
    <t>Brgy. San Vicente</t>
  </si>
  <si>
    <t>LC-19-00002</t>
  </si>
  <si>
    <t>Vilma G. Mariñas</t>
  </si>
  <si>
    <t>So.Pucatod,Brgy. Payao</t>
  </si>
  <si>
    <t>Brgy. Payao</t>
  </si>
  <si>
    <t>LC-19-00003</t>
  </si>
  <si>
    <t>Jay Ann F. Sampero</t>
  </si>
  <si>
    <t>Brgy. Santol</t>
  </si>
  <si>
    <t>LC-19-00004</t>
  </si>
  <si>
    <t>C</t>
  </si>
  <si>
    <t>Caroline G. Lopez</t>
  </si>
  <si>
    <t>Carmen St., Brgy. San Pedro, BNO</t>
  </si>
  <si>
    <t>Calle Granada, Brgy. Payao, BNO</t>
  </si>
  <si>
    <t>LC-19-00005</t>
  </si>
  <si>
    <t>Rolando G. Casiple</t>
  </si>
  <si>
    <t>Brgy. Enclaro, BNO</t>
  </si>
  <si>
    <t>LC-19-00006</t>
  </si>
  <si>
    <t>Joel Zipagan</t>
  </si>
  <si>
    <t>Villa Sta. Maria P-2, BNO</t>
  </si>
  <si>
    <t>LC-19-00007</t>
  </si>
  <si>
    <t>A</t>
  </si>
  <si>
    <t>Severo Montero/Cesar Montero</t>
  </si>
  <si>
    <t>Bacolod City</t>
  </si>
  <si>
    <t>Brgy. San Jose, BNO</t>
  </si>
  <si>
    <t>LC-19-00008</t>
  </si>
  <si>
    <t>Ted Romulo Del Rio</t>
  </si>
  <si>
    <t>Kabakalan City</t>
  </si>
  <si>
    <t>Bry. Sto. Rosario</t>
  </si>
  <si>
    <t>LC-19-00009</t>
  </si>
  <si>
    <t>Jecell Rose P. Egca</t>
  </si>
  <si>
    <t>BNO</t>
  </si>
  <si>
    <t>LC-19-00010</t>
  </si>
  <si>
    <t>Abner  F. Magbanua</t>
  </si>
  <si>
    <t>Brgy.Canmoros, BNO</t>
  </si>
  <si>
    <t>LC-19-00011</t>
  </si>
  <si>
    <t>Phil. Diversefied Developers Corp.</t>
  </si>
  <si>
    <t>Villa Montecillo Subd.</t>
  </si>
  <si>
    <t>LC-19-00012</t>
  </si>
  <si>
    <t>Mary Ann Alemania</t>
  </si>
  <si>
    <t>Villa Sta. Maria Subd. P-2</t>
  </si>
  <si>
    <t>Villa Sta. Maria Subd. P-2, BNO</t>
  </si>
  <si>
    <t>LC-19-00013</t>
  </si>
  <si>
    <t>Villa Montecillo Subd., Brgy. San Vicente</t>
  </si>
  <si>
    <t>LC-19-00014</t>
  </si>
  <si>
    <t>Glee Jean S. Sulbod</t>
  </si>
  <si>
    <t>Had.San Agustin , Brgy. Bagroy</t>
  </si>
  <si>
    <t>Had.San Agustin., Brgy. Bagroy</t>
  </si>
  <si>
    <t>LC-19-00015</t>
  </si>
  <si>
    <t>LC-19-00016</t>
  </si>
  <si>
    <t>LC-19-00017</t>
  </si>
  <si>
    <t>LC-19-00018</t>
  </si>
  <si>
    <t>LC-19-00019</t>
  </si>
  <si>
    <t>LC-19-00020</t>
  </si>
  <si>
    <t>LC-19-00021</t>
  </si>
  <si>
    <t>LC-19-00022</t>
  </si>
  <si>
    <t>LC-19-00023</t>
  </si>
  <si>
    <t>LC-19-00024</t>
  </si>
  <si>
    <t>LC-19-00025</t>
  </si>
  <si>
    <t>LC-19-00026</t>
  </si>
  <si>
    <t>LC-19-00027</t>
  </si>
  <si>
    <t>LC-19-00028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</si>
</sst>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_(* #,##0.000_);_(* \(#,##0.000\);_(* &quot;-&quot;???_);_(@_)"/>
    <numFmt numFmtId="166" formatCode="mm/dd/yyyy"/>
    <numFmt numFmtId="167" formatCode="_-* #,##0.00_-;\-* #,##0.00_-;_-* &quot;-&quot;??_-;_-@"/>
    <numFmt numFmtId="168" formatCode="_-&quot;₱&quot;* #,##0.00_-;\-&quot;₱&quot;* #,##0.00_-;_-&quot;₱&quot;* &quot;-&quot;??_-;_-@"/>
  </numFmts>
  <fonts count="15">
    <font>
      <sz val="11.0"/>
      <color/>
      <name val="Arial"/>
      <scheme val="minor"/>
    </font>
    <font>
      <sz val="11.0"/>
      <color/>
      <name val="Calibri"/>
    </font>
    <font>
      <sz val="9.0"/>
      <color/>
      <name val="Calibri"/>
    </font>
    <font>
      <b/>
      <sz val="9.0"/>
      <color/>
      <name val="Calibri"/>
    </font>
    <font>
      <sz val="8.0"/>
      <color/>
      <name val="Calibri"/>
    </font>
    <font/>
    <font>
      <sz val="10.0"/>
      <color/>
      <name val="Calibri"/>
    </font>
    <font>
      <sz val="9.0"/>
      <color/>
      <name val="Arial"/>
    </font>
    <font>
      <sz val="8.0"/>
      <color/>
      <name val="Aharoni"/>
    </font>
    <font>
      <b/>
      <sz val="10.0"/>
      <color/>
      <name val="Calibri"/>
    </font>
    <font>
      <sz val="12.0"/>
      <color/>
      <name val="Calibri"/>
    </font>
    <font>
      <b/>
      <sz val="11.0"/>
      <color/>
      <name val="Calibri"/>
    </font>
    <font>
      <b/>
      <sz val="10.0"/>
      <color/>
      <name val="Arial Black"/>
    </font>
    <font>
      <b/>
      <sz val="12.0"/>
      <color/>
      <name val="Calibri"/>
    </font>
    <font>
      <sz val="10.0"/>
      <name val="Calibri"/>
    </font>
  </fonts>
  <fills count="2">
    <fill>
      <patternFill patternType="none"/>
    </fill>
    <fill>
      <patternFill patternType="lightGray"/>
    </fill>
  </fills>
  <borders count="26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left"/>
    </xf>
    <xf borderId="1" fillId="0" fontId="5" numFmtId="0" xfId="0" applyBorder="1" applyFont="1"/>
    <xf borderId="2" fillId="0" fontId="3" numFmtId="0" xfId="0" applyAlignment="1" applyBorder="1" applyFont="1">
      <alignment horizontal="right"/>
    </xf>
    <xf borderId="3" fillId="0" fontId="6" numFmtId="15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3" fillId="0" fontId="2" numFmtId="15" xfId="0" applyAlignment="1" applyBorder="1" applyFont="1" applyNumberFormat="1">
      <alignment horizontal="center"/>
    </xf>
    <xf borderId="5" fillId="0" fontId="2" numFmtId="1" xfId="0" applyAlignment="1" applyBorder="1" applyFont="1" applyNumberFormat="1">
      <alignment horizontal="center"/>
    </xf>
    <xf borderId="6" fillId="0" fontId="8" numFmtId="0" xfId="0" applyAlignment="1" applyBorder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9" fillId="0" fontId="9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6" fillId="0" fontId="6" numFmtId="0" xfId="0" applyBorder="1" applyFont="1"/>
    <xf borderId="12" fillId="0" fontId="1" numFmtId="0" xfId="0" applyAlignment="1" applyBorder="1" applyFont="1">
      <alignment horizontal="left"/>
    </xf>
    <xf borderId="12" fillId="0" fontId="5" numFmtId="0" xfId="0" applyBorder="1" applyFont="1"/>
    <xf borderId="13" fillId="0" fontId="5" numFmtId="0" xfId="0" applyBorder="1" applyFont="1"/>
    <xf borderId="12" fillId="0" fontId="10" numFmtId="0" xfId="0" applyAlignment="1" applyBorder="1" applyFont="1">
      <alignment horizontal="left"/>
    </xf>
    <xf borderId="14" fillId="0" fontId="6" numFmtId="0" xfId="0" applyBorder="1" applyFont="1"/>
    <xf borderId="12" fillId="0" fontId="6" numFmtId="0" xfId="0" applyAlignment="1" applyBorder="1" applyFont="1">
      <alignment horizontal="left"/>
    </xf>
    <xf borderId="12" fillId="0" fontId="4" numFmtId="0" xfId="0" applyAlignment="1" applyBorder="1" applyFont="1">
      <alignment horizontal="left"/>
    </xf>
    <xf borderId="12" fillId="0" fontId="1" numFmtId="164" xfId="0" applyAlignment="1" applyBorder="1" applyFont="1" applyNumberFormat="1">
      <alignment horizontal="center"/>
    </xf>
    <xf borderId="13" fillId="0" fontId="1" numFmtId="0" xfId="0" applyBorder="1" applyFont="1"/>
    <xf borderId="15" fillId="0" fontId="2" numFmtId="0" xfId="0" applyBorder="1" applyFont="1"/>
    <xf borderId="16" fillId="0" fontId="11" numFmtId="0" xfId="0" applyAlignment="1" applyBorder="1" applyFont="1">
      <alignment horizontal="center"/>
    </xf>
    <xf borderId="17" fillId="0" fontId="2" numFmtId="0" xfId="0" applyBorder="1" applyFont="1"/>
    <xf borderId="16" fillId="0" fontId="11" numFmtId="0" xfId="0" applyAlignment="1" applyBorder="1" applyFont="1">
      <alignment horizontal="right"/>
    </xf>
    <xf borderId="12" fillId="0" fontId="11" numFmtId="164" xfId="0" applyAlignment="1" applyBorder="1" applyFont="1" applyNumberFormat="1">
      <alignment horizontal="center"/>
    </xf>
    <xf borderId="6" fillId="0" fontId="11" numFmtId="0" xfId="0" applyAlignment="1" applyBorder="1" applyFont="1">
      <alignment horizontal="center"/>
    </xf>
    <xf borderId="14" fillId="0" fontId="12" numFmtId="0" xfId="0" applyBorder="1" applyFont="1"/>
    <xf borderId="18" fillId="0" fontId="1" numFmtId="0" xfId="0" applyBorder="1" applyFont="1"/>
    <xf borderId="0" fillId="0" fontId="1" numFmtId="164" xfId="0" applyFont="1" applyNumberFormat="1"/>
    <xf borderId="0" fillId="0" fontId="11" numFmtId="0" xfId="0" applyFont="1"/>
    <xf borderId="14" fillId="0" fontId="1" numFmtId="0" xfId="0" applyAlignment="1" applyBorder="1" applyFont="1">
      <alignment horizontal="right"/>
    </xf>
    <xf borderId="10" fillId="0" fontId="1" numFmtId="164" xfId="0" applyAlignment="1" applyBorder="1" applyFont="1" applyNumberFormat="1">
      <alignment horizontal="center"/>
    </xf>
    <xf borderId="0" fillId="0" fontId="1" numFmtId="165" xfId="0" applyFont="1" applyNumberFormat="1"/>
    <xf borderId="12" fillId="0" fontId="1" numFmtId="164" xfId="0" applyAlignment="1" applyBorder="1" applyFont="1" applyNumberFormat="1">
      <alignment horizontal="right"/>
    </xf>
    <xf borderId="0" fillId="0" fontId="11" numFmtId="16" xfId="0" applyFont="1" applyNumberFormat="1"/>
    <xf borderId="7" fillId="0" fontId="1" numFmtId="164" xfId="0" applyAlignment="1" applyBorder="1" applyFont="1" applyNumberFormat="1">
      <alignment horizontal="right"/>
    </xf>
    <xf borderId="14" fillId="0" fontId="11" numFmtId="0" xfId="0" applyAlignment="1" applyBorder="1" applyFont="1">
      <alignment horizontal="right"/>
    </xf>
    <xf borderId="19" fillId="0" fontId="13" numFmtId="0" xfId="0" applyAlignment="1" applyBorder="1" applyFont="1">
      <alignment horizontal="right"/>
    </xf>
    <xf borderId="20" fillId="0" fontId="13" numFmtId="164" xfId="0" applyBorder="1" applyFont="1" applyNumberFormat="1"/>
    <xf borderId="14" fillId="0" fontId="1" numFmtId="0" xfId="0" applyBorder="1" applyFont="1"/>
    <xf borderId="17" fillId="0" fontId="1" numFmtId="0" xfId="0" applyAlignment="1" applyBorder="1" applyFont="1">
      <alignment horizontal="left"/>
    </xf>
    <xf borderId="21" fillId="0" fontId="5" numFmtId="0" xfId="0" applyBorder="1" applyFont="1"/>
    <xf borderId="16" fillId="0" fontId="1" numFmtId="0" xfId="0" applyAlignment="1" applyBorder="1" applyFont="1">
      <alignment horizontal="left"/>
    </xf>
    <xf borderId="17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3" fillId="0" fontId="5" numFmtId="0" xfId="0" applyBorder="1" applyFont="1"/>
    <xf borderId="24" fillId="0" fontId="2" numFmtId="0" xfId="0" applyAlignment="1" applyBorder="1" applyFont="1">
      <alignment horizontal="center"/>
    </xf>
    <xf borderId="25" fillId="0" fontId="5" numFmtId="0" xfId="0" applyBorder="1" applyFont="1"/>
    <xf borderId="24" fillId="0" fontId="4" numFmtId="0" xfId="0" applyAlignment="1" applyBorder="1" applyFont="1">
      <alignment horizontal="center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4" fillId="0" fontId="7" numFmtId="1" xfId="0" applyAlignment="1" applyBorder="1" applyFont="1" applyNumberFormat="1">
      <alignment horizontal="center"/>
    </xf>
    <xf borderId="0" fillId="0" fontId="1" numFmtId="9" xfId="0" applyFont="1" applyNumberFormat="1"/>
    <xf borderId="0" fillId="0" fontId="1" numFmtId="167" xfId="0" applyFont="1" applyNumberFormat="1"/>
    <xf borderId="12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left"/>
    </xf>
    <xf borderId="3" fillId="0" fontId="4" numFmtId="0" xfId="0" applyAlignment="1" applyBorder="1" applyFont="1">
      <alignment horizontal="center"/>
    </xf>
    <xf borderId="12" fillId="0" fontId="1" numFmtId="2" xfId="0" applyAlignment="1" applyBorder="1" applyFont="1" applyNumberFormat="1">
      <alignment horizontal="center"/>
    </xf>
    <xf borderId="12" fillId="0" fontId="1" numFmtId="168" xfId="0" applyAlignment="1" applyBorder="1" applyFont="1" applyNumberFormat="1">
      <alignment horizontal="center" vertical="center"/>
    </xf>
    <xf borderId="12" fillId="0" fontId="1" numFmtId="168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13" fillId="0" fontId="11" numFmtId="0" xfId="0" applyBorder="1" applyFont="1"/>
    <xf borderId="12" fillId="0" fontId="1" numFmtId="2" xfId="0" applyAlignment="1" applyBorder="1" applyFont="1" applyNumberFormat="1">
      <alignment horizontal="right"/>
    </xf>
    <xf borderId="16" fillId="0" fontId="11" numFmtId="164" xfId="0" applyAlignment="1" applyBorder="1" applyFont="1" applyNumberFormat="1">
      <alignment horizontal="center"/>
    </xf>
    <xf borderId="3" fillId="0" fontId="2" numFmtId="14" xfId="0" applyAlignment="1" applyBorder="1" applyFont="1" applyNumberFormat="1">
      <alignment horizontal="center"/>
    </xf>
    <xf borderId="4" fillId="0" fontId="14" numFmtId="0" xfId="0" applyAlignment="1" applyBorder="1" applyFont="1">
      <alignment horizontal="center"/>
    </xf>
    <xf borderId="12" fillId="0" fontId="1" numFmtId="4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164" xfId="0" applyAlignment="1" applyFont="1" applyNumberFormat="1">
      <alignment horizontal="center"/>
    </xf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38100</xdr:rowOff>
    </xdr:from>
    <xdr:ext cx="638175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47625</xdr:rowOff>
    </xdr:from>
    <xdr:ext cx="638175" cy="5715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38100</xdr:rowOff>
    </xdr:from>
    <xdr:ext cx="638175" cy="57150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38100</xdr:rowOff>
    </xdr:from>
    <xdr:ext cx="638175" cy="57150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1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2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2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2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3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3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8175" cy="600075"/>
    <xdr:pic>
      <xdr:nvPicPr>
        <xdr:cNvPr id="0" name="image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638175" cy="600075"/>
    <xdr:pic>
      <xdr:nvPicPr>
        <xdr:cNvPr id="0" name="image3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638175" cy="571500"/>
    <xdr:pic>
      <xdr:nvPicPr>
        <xdr:cNvPr id="0" name="image3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571500"/>
    <xdr:pic>
      <xdr:nvPicPr>
        <xdr:cNvPr id="0" name="image3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3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638175" cy="600075"/>
    <xdr:pic>
      <xdr:nvPicPr>
        <xdr:cNvPr id="0" name="image4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38100</xdr:rowOff>
    </xdr:from>
    <xdr:ext cx="638175" cy="600075"/>
    <xdr:pic>
      <xdr:nvPicPr>
        <xdr:cNvPr id="0" name="image4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LCapplic.%20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of payments"/>
      <sheetName val="2013"/>
      <sheetName val="2012"/>
      <sheetName val="91-98"/>
      <sheetName val="2008"/>
      <sheetName val="2011"/>
      <sheetName val="09-10"/>
      <sheetName val="2014"/>
      <sheetName val="2016"/>
      <sheetName val="2015"/>
      <sheetName val="2017"/>
      <sheetName val="2018"/>
      <sheetName val="2019"/>
      <sheetName val="2020"/>
      <sheetName val="2021"/>
      <sheetName val="2022"/>
      <sheetName val="Sheet2"/>
      <sheetName val="Sheet1"/>
      <sheetName val="certification on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5.86"/>
    <col customWidth="1" min="5" max="5" width="4.29"/>
    <col customWidth="1" min="6" max="6" width="9.71"/>
    <col customWidth="1" min="7" max="7" width="12.86"/>
    <col customWidth="1" min="8" max="8" width="9.14"/>
    <col customWidth="1" min="9" max="9" width="14.0"/>
    <col customWidth="1" min="10" max="10" width="8.71"/>
    <col customWidth="1" min="11" max="11" width="15.0"/>
    <col customWidth="1" min="12" max="14" width="8.71"/>
    <col customWidth="1" min="15" max="15" width="6.14"/>
    <col customWidth="1" min="16" max="16" width="14.57"/>
    <col customWidth="1" min="17" max="19" width="8.71"/>
  </cols>
  <sheetData>
    <row r="1">
      <c r="A1" s="1"/>
      <c r="B1" s="2"/>
      <c r="C1" s="2"/>
      <c r="D1" s="2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10" t="s">
        <v>6</v>
      </c>
      <c r="C6" s="11" t="s">
        <v>7</v>
      </c>
      <c r="D6" s="12" t="s">
        <v>8</v>
      </c>
      <c r="F6" s="9" t="s">
        <v>5</v>
      </c>
      <c r="G6" s="13" t="str">
        <f>B6</f>
        <v>Oct-20,2022</v>
      </c>
      <c r="H6" s="11" t="s">
        <v>7</v>
      </c>
      <c r="I6" s="14" t="str">
        <f>D6</f>
        <v>2022-53-R</v>
      </c>
    </row>
    <row r="7">
      <c r="A7" s="15" t="s">
        <v>9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13</v>
      </c>
      <c r="C9" s="23"/>
      <c r="D9" s="24"/>
      <c r="F9" s="21" t="s">
        <v>12</v>
      </c>
      <c r="G9" s="25" t="str">
        <f t="shared" ref="G9:G13" si="1">B9</f>
        <v>Nelia T. Resuma</v>
      </c>
      <c r="H9" s="23"/>
      <c r="I9" s="24"/>
      <c r="S9" t="s">
        <v>14</v>
      </c>
    </row>
    <row r="10">
      <c r="A10" s="26" t="s">
        <v>15</v>
      </c>
      <c r="B10" s="27" t="s">
        <v>16</v>
      </c>
      <c r="C10" s="23"/>
      <c r="D10" s="24"/>
      <c r="F10" s="26" t="s">
        <v>15</v>
      </c>
      <c r="G10" s="27" t="str">
        <f t="shared" si="1"/>
        <v>Brgy. Progreso</v>
      </c>
      <c r="H10" s="23"/>
      <c r="I10" s="24"/>
    </row>
    <row r="11">
      <c r="A11" s="26" t="s">
        <v>17</v>
      </c>
      <c r="B11" s="28" t="s">
        <v>18</v>
      </c>
      <c r="C11" s="23"/>
      <c r="D11" s="24"/>
      <c r="F11" s="26" t="s">
        <v>17</v>
      </c>
      <c r="G11" s="28" t="str">
        <f t="shared" si="1"/>
        <v>Proposed Construction of 1-Storey, 2 Bedroom Residence</v>
      </c>
      <c r="H11" s="23"/>
      <c r="I11" s="24"/>
    </row>
    <row r="12">
      <c r="A12" s="26" t="s">
        <v>19</v>
      </c>
      <c r="B12" s="28" t="s">
        <v>20</v>
      </c>
      <c r="C12" s="23"/>
      <c r="D12" s="24"/>
      <c r="F12" s="26" t="s">
        <v>19</v>
      </c>
      <c r="G12" s="28" t="str">
        <f t="shared" si="1"/>
        <v>Brgy. Progreso, Binalbagan, Negros Occidental</v>
      </c>
      <c r="H12" s="23"/>
      <c r="I12" s="24"/>
    </row>
    <row r="13">
      <c r="A13" s="26" t="s">
        <v>21</v>
      </c>
      <c r="B13" s="29">
        <v>172.0</v>
      </c>
      <c r="C13" s="23"/>
      <c r="D13" s="30" t="s">
        <v>22</v>
      </c>
      <c r="F13" s="26" t="s">
        <v>21</v>
      </c>
      <c r="G13" s="29" t="str">
        <f t="shared" si="1"/>
        <v>  172.00 </v>
      </c>
      <c r="H13" s="23"/>
      <c r="I13" s="30" t="s">
        <v>22</v>
      </c>
    </row>
    <row r="14">
      <c r="A14" s="31" t="s">
        <v>23</v>
      </c>
      <c r="B14" s="32" t="s">
        <v>24</v>
      </c>
      <c r="C14" s="23"/>
      <c r="D14" s="24"/>
      <c r="F14" s="31" t="s">
        <v>23</v>
      </c>
      <c r="G14" s="32" t="s">
        <v>24</v>
      </c>
      <c r="H14" s="23"/>
      <c r="I14" s="24"/>
    </row>
    <row r="15">
      <c r="A15" s="33" t="s">
        <v>25</v>
      </c>
      <c r="B15" s="34" t="s">
        <v>26</v>
      </c>
      <c r="C15" s="35">
        <v>2045831.0</v>
      </c>
      <c r="D15" s="24"/>
      <c r="F15" s="33" t="s">
        <v>25</v>
      </c>
      <c r="G15" s="34" t="s">
        <v>26</v>
      </c>
      <c r="H15" s="35" t="str">
        <f>C15</f>
        <v>  2,045,831.00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  <c r="K17" s="39" t="str">
        <f>C15-200000</f>
        <v>  1,845,831.00 </v>
      </c>
      <c r="L17" s="40" t="s">
        <v>29</v>
      </c>
      <c r="P17" t="str">
        <f>(C15-200000)*0.1*0.01+(720)</f>
        <v>2565.831</v>
      </c>
    </row>
    <row r="18">
      <c r="A18" s="41" t="s">
        <v>30</v>
      </c>
      <c r="C18" s="42" t="str">
        <f>P17</f>
        <v>  2,565.83 </v>
      </c>
      <c r="D18" s="20"/>
      <c r="F18" s="41" t="s">
        <v>30</v>
      </c>
      <c r="H18" s="42" t="str">
        <f>C18</f>
        <v>  2,565.83 </v>
      </c>
      <c r="I18" s="20"/>
      <c r="K18" s="43" t="str">
        <f>K17*0.01</f>
        <v>  18,458.310 </v>
      </c>
      <c r="L18" s="40" t="s">
        <v>31</v>
      </c>
    </row>
    <row r="19">
      <c r="A19" s="41" t="s">
        <v>32</v>
      </c>
      <c r="C19" s="44"/>
      <c r="D19" s="24"/>
      <c r="F19" s="41" t="s">
        <v>32</v>
      </c>
      <c r="H19" s="29"/>
      <c r="I19" s="24"/>
      <c r="K19" s="43" t="str">
        <f>K18*0.1</f>
        <v>  1,845.831 </v>
      </c>
      <c r="L19" s="45" t="s">
        <v>33</v>
      </c>
    </row>
    <row r="20">
      <c r="A20" s="41" t="s">
        <v>34</v>
      </c>
      <c r="C20" s="46">
        <v>720.0</v>
      </c>
      <c r="D20" s="17"/>
      <c r="F20" s="41" t="s">
        <v>34</v>
      </c>
      <c r="H20" s="46" t="str">
        <f>C20</f>
        <v>  720.00 </v>
      </c>
      <c r="I20" s="17"/>
      <c r="P20" s="39"/>
      <c r="Q20" s="40"/>
    </row>
    <row r="21" ht="19.5" customHeight="1">
      <c r="A21" s="47" t="s">
        <v>35</v>
      </c>
      <c r="C21" s="48" t="s">
        <v>26</v>
      </c>
      <c r="D21" s="49" t="str">
        <f>SUM(C18:D20)</f>
        <v>  3,285.83 </v>
      </c>
      <c r="F21" s="47" t="s">
        <v>35</v>
      </c>
      <c r="H21" s="48" t="s">
        <v>26</v>
      </c>
      <c r="I21" s="49" t="str">
        <f>SUM(H18:I20)</f>
        <v>  3,285.83 </v>
      </c>
      <c r="P21" s="43"/>
      <c r="Q21" s="40"/>
    </row>
    <row r="22" ht="15.75" customHeight="1">
      <c r="A22" s="50"/>
      <c r="B22" s="2"/>
      <c r="C22" s="2"/>
      <c r="D22" s="38"/>
      <c r="F22" s="50"/>
      <c r="G22" s="2"/>
      <c r="H22" s="2"/>
      <c r="I22" s="38"/>
      <c r="P22" s="43"/>
      <c r="Q22" s="45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  <c r="M23" t="str">
        <f>720*38</f>
        <v>27360</v>
      </c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  <c r="L25" s="40" t="s">
        <v>39</v>
      </c>
    </row>
    <row r="26" ht="15.75" customHeight="1">
      <c r="A26" s="58"/>
      <c r="B26" s="59"/>
      <c r="C26" s="60" t="s">
        <v>40</v>
      </c>
      <c r="D26" s="61"/>
      <c r="F26" s="58"/>
      <c r="G26" s="59"/>
      <c r="H26" s="62" t="str">
        <f>C26</f>
        <v>Zoning Administrator</v>
      </c>
      <c r="I26" s="61"/>
      <c r="L26" t="s">
        <v>31</v>
      </c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  <c r="L28" t="s">
        <v>42</v>
      </c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3" right="0.3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86"/>
    <col customWidth="1" min="4" max="4" width="29.71"/>
  </cols>
  <sheetData>
    <row r="1">
      <c r="A1" s="64" t="s">
        <v>44</v>
      </c>
      <c r="B1" s="64" t="s">
        <v>45</v>
      </c>
      <c r="C1" s="64" t="s">
        <v>46</v>
      </c>
      <c r="D1" s="64" t="s">
        <v>47</v>
      </c>
      <c r="E1" s="64" t="s">
        <v>48</v>
      </c>
      <c r="F1" s="64" t="s">
        <v>49</v>
      </c>
      <c r="G1" s="64" t="s">
        <v>50</v>
      </c>
      <c r="H1" s="64" t="s">
        <v>51</v>
      </c>
      <c r="I1" s="64" t="s">
        <v>52</v>
      </c>
      <c r="J1" s="64" t="s">
        <v>53</v>
      </c>
      <c r="K1" s="64" t="s">
        <v>54</v>
      </c>
      <c r="L1" s="64" t="s">
        <v>55</v>
      </c>
      <c r="M1" s="64" t="s">
        <v>56</v>
      </c>
    </row>
    <row r="2">
      <c r="A2" s="64" t="s">
        <v>57</v>
      </c>
      <c r="B2" s="65">
        <v>45742.0</v>
      </c>
      <c r="C2" s="64" t="s">
        <v>58</v>
      </c>
      <c r="D2" s="64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0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1" width="8.71"/>
    <col customWidth="1" min="12" max="12" width="10.86"/>
    <col customWidth="1" min="13" max="13" width="14.0"/>
    <col customWidth="1" min="14" max="15" width="10.86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>
      <c r="A6" s="9" t="s">
        <v>5</v>
      </c>
      <c r="B6" s="10">
        <v>44749.0</v>
      </c>
      <c r="C6" s="11" t="s">
        <v>7</v>
      </c>
      <c r="D6" s="14" t="s">
        <v>60</v>
      </c>
      <c r="F6" s="9" t="s">
        <v>5</v>
      </c>
      <c r="G6" s="13" t="str">
        <f>B6</f>
        <v>7-Jul-22</v>
      </c>
      <c r="H6" s="11" t="s">
        <v>7</v>
      </c>
      <c r="I6" s="66" t="str">
        <f>D6</f>
        <v>LC-36-2022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8" t="s">
        <v>61</v>
      </c>
      <c r="C9" s="23"/>
      <c r="D9" s="24"/>
      <c r="F9" s="21" t="s">
        <v>12</v>
      </c>
      <c r="G9" s="28" t="str">
        <f t="shared" ref="G9:G13" si="1">B9</f>
        <v>Jose L. Yulo, Benjamin L. Yulo &amp; Trinidad L. Yulo</v>
      </c>
      <c r="H9" s="23"/>
      <c r="I9" s="24"/>
    </row>
    <row r="10">
      <c r="A10" s="26" t="s">
        <v>15</v>
      </c>
      <c r="B10" s="27" t="s">
        <v>62</v>
      </c>
      <c r="C10" s="23"/>
      <c r="D10" s="24"/>
      <c r="F10" s="26" t="s">
        <v>15</v>
      </c>
      <c r="G10" s="27" t="str">
        <f t="shared" si="1"/>
        <v>ESPINOS VILLAGE PHASE I, BACOLOD CITY</v>
      </c>
      <c r="H10" s="23"/>
      <c r="I10" s="24"/>
    </row>
    <row r="11">
      <c r="A11" s="26" t="s">
        <v>17</v>
      </c>
      <c r="B11" s="22"/>
      <c r="C11" s="23"/>
      <c r="D11" s="24"/>
      <c r="F11" s="26" t="s">
        <v>17</v>
      </c>
      <c r="G11" s="22" t="str">
        <f t="shared" si="1"/>
        <v/>
      </c>
      <c r="H11" s="23"/>
      <c r="I11" s="24"/>
    </row>
    <row r="12">
      <c r="A12" s="26" t="s">
        <v>19</v>
      </c>
      <c r="B12" s="28" t="s">
        <v>63</v>
      </c>
      <c r="C12" s="23"/>
      <c r="D12" s="24"/>
      <c r="F12" s="26" t="s">
        <v>19</v>
      </c>
      <c r="G12" s="28" t="str">
        <f t="shared" si="1"/>
        <v>BLOCK 14 (LOT 39-B-2-B PT Brgy. Sto. Rosario, BNO</v>
      </c>
      <c r="H12" s="23"/>
      <c r="I12" s="24"/>
    </row>
    <row r="13">
      <c r="A13" s="26" t="s">
        <v>21</v>
      </c>
      <c r="B13" s="29">
        <v>386531.0</v>
      </c>
      <c r="C13" s="23"/>
      <c r="D13" s="30" t="s">
        <v>22</v>
      </c>
      <c r="F13" s="26" t="s">
        <v>21</v>
      </c>
      <c r="G13" s="29" t="str">
        <f t="shared" si="1"/>
        <v>  386,531.00 </v>
      </c>
      <c r="H13" s="23"/>
      <c r="I13" s="30" t="s">
        <v>22</v>
      </c>
    </row>
    <row r="14">
      <c r="A14" s="31" t="s">
        <v>23</v>
      </c>
      <c r="B14" s="32" t="s">
        <v>24</v>
      </c>
      <c r="C14" s="23"/>
      <c r="D14" s="24"/>
      <c r="F14" s="31" t="s">
        <v>23</v>
      </c>
      <c r="G14" s="32" t="s">
        <v>24</v>
      </c>
      <c r="H14" s="23"/>
      <c r="I14" s="24"/>
    </row>
    <row r="15">
      <c r="A15" s="33" t="s">
        <v>25</v>
      </c>
      <c r="B15" s="34" t="s">
        <v>26</v>
      </c>
      <c r="C15" s="35"/>
      <c r="D15" s="24"/>
      <c r="F15" s="33" t="s">
        <v>25</v>
      </c>
      <c r="G15" s="34" t="s">
        <v>26</v>
      </c>
      <c r="H15" s="35" t="str">
        <f>C15</f>
        <v/>
      </c>
      <c r="I15" s="24"/>
    </row>
    <row r="16">
      <c r="A16" s="36" t="s">
        <v>64</v>
      </c>
      <c r="B16" s="16"/>
      <c r="C16" s="16"/>
      <c r="D16" s="17"/>
      <c r="F16" s="36" t="s">
        <v>27</v>
      </c>
      <c r="G16" s="16"/>
      <c r="H16" s="16"/>
      <c r="I16" s="17"/>
      <c r="O16" s="6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/>
      <c r="D18" s="20"/>
      <c r="F18" s="41" t="s">
        <v>30</v>
      </c>
      <c r="H18" s="42" t="str">
        <f t="shared" ref="H18:H20" si="2">C18</f>
        <v/>
      </c>
      <c r="I18" s="20"/>
    </row>
    <row r="19">
      <c r="A19" s="41" t="s">
        <v>32</v>
      </c>
      <c r="C19" s="44"/>
      <c r="D19" s="24"/>
      <c r="F19" s="41" t="s">
        <v>32</v>
      </c>
      <c r="H19" s="29" t="str">
        <f t="shared" si="2"/>
        <v/>
      </c>
      <c r="I19" s="24"/>
      <c r="O19" s="68"/>
    </row>
    <row r="20">
      <c r="A20" s="41" t="s">
        <v>34</v>
      </c>
      <c r="C20" s="46" t="str">
        <f>400*38</f>
        <v>  15,200.00 </v>
      </c>
      <c r="D20" s="17"/>
      <c r="F20" s="41" t="s">
        <v>34</v>
      </c>
      <c r="H20" s="46" t="str">
        <f t="shared" si="2"/>
        <v>  15,200.00 </v>
      </c>
      <c r="I20" s="17"/>
      <c r="L20" s="68" t="str">
        <f>C18*38</f>
        <v>  -   </v>
      </c>
    </row>
    <row r="21" ht="15.75" customHeight="1">
      <c r="A21" s="47" t="s">
        <v>35</v>
      </c>
      <c r="C21" s="48" t="s">
        <v>26</v>
      </c>
      <c r="D21" s="49" t="str">
        <f>SUM(C18:D20)</f>
        <v>  15,200.00 </v>
      </c>
      <c r="F21" s="47" t="s">
        <v>35</v>
      </c>
      <c r="H21" s="48" t="s">
        <v>26</v>
      </c>
      <c r="I21" s="49" t="str">
        <f>SUM(H18:I20)</f>
        <v>  15,200.00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  <c r="L22" t="str">
        <f>38*720</f>
        <v>27360</v>
      </c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  <c r="M23" s="68"/>
      <c r="N23" s="68"/>
      <c r="O23" s="68"/>
    </row>
    <row r="24" ht="15.75" customHeight="1">
      <c r="A24" s="54"/>
      <c r="B24" s="52"/>
      <c r="C24" s="55"/>
      <c r="D24" s="24"/>
      <c r="F24" s="54"/>
      <c r="G24" s="52"/>
      <c r="H24" s="55"/>
      <c r="I24" s="24"/>
      <c r="O24" s="68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  <c r="M25" s="68"/>
      <c r="N25" s="40"/>
      <c r="O25" s="68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  <c r="M26" s="68"/>
      <c r="N26" s="40"/>
    </row>
    <row r="27" ht="15.75" customHeight="1">
      <c r="M27" s="68"/>
      <c r="N27" s="45"/>
    </row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>
      <c r="A30" s="63"/>
      <c r="B30" s="63"/>
      <c r="C30" s="63"/>
      <c r="D30" s="63"/>
      <c r="F30" s="63"/>
      <c r="G30" s="63"/>
      <c r="H30" s="63"/>
      <c r="I30" s="63"/>
    </row>
    <row r="31" ht="15.75" customHeight="1">
      <c r="A31" s="63"/>
      <c r="B31" s="63"/>
      <c r="C31" s="63"/>
      <c r="D31" s="63"/>
      <c r="F31" s="63"/>
      <c r="G31" s="63"/>
      <c r="H31" s="63"/>
      <c r="I31" s="63"/>
    </row>
    <row r="32" ht="15.75" customHeight="1">
      <c r="A32" s="63"/>
      <c r="B32" s="63"/>
      <c r="C32" s="63"/>
      <c r="D32" s="63"/>
      <c r="F32" s="63"/>
      <c r="G32" s="63"/>
      <c r="H32" s="63"/>
      <c r="I32" s="63"/>
    </row>
    <row r="33" ht="15.75" customHeight="1">
      <c r="A33" s="63"/>
      <c r="B33" s="63"/>
      <c r="C33" s="63"/>
      <c r="D33" s="63"/>
      <c r="F33" s="63"/>
      <c r="G33" s="63"/>
      <c r="H33" s="63"/>
      <c r="I33" s="63"/>
    </row>
    <row r="34" ht="15.75" customHeight="1">
      <c r="A34" s="63"/>
      <c r="B34" s="63"/>
      <c r="C34" s="63"/>
      <c r="D34" s="63"/>
      <c r="F34" s="63"/>
      <c r="G34" s="63"/>
      <c r="H34" s="63"/>
      <c r="I34" s="63"/>
    </row>
    <row r="35" ht="15.75" customHeight="1">
      <c r="A35" s="63"/>
      <c r="B35" s="63"/>
      <c r="C35" s="63"/>
      <c r="D35" s="63"/>
      <c r="F35" s="63"/>
      <c r="G35" s="63"/>
      <c r="H35" s="63"/>
      <c r="I35" s="63"/>
    </row>
    <row r="36" ht="15.75" customHeight="1">
      <c r="A36" s="63"/>
      <c r="B36" s="63"/>
      <c r="C36" s="63"/>
      <c r="D36" s="63"/>
      <c r="F36" s="63"/>
      <c r="G36" s="63"/>
      <c r="H36" s="63"/>
      <c r="I36" s="63"/>
    </row>
    <row r="37" ht="15.75" customHeight="1">
      <c r="A37" s="63"/>
      <c r="B37" s="63"/>
      <c r="C37" s="63"/>
      <c r="D37" s="63"/>
      <c r="F37" s="63"/>
      <c r="G37" s="63"/>
      <c r="H37" s="63"/>
      <c r="I37" s="63"/>
    </row>
    <row r="38" ht="15.75" customHeight="1">
      <c r="A38" s="63"/>
      <c r="B38" s="63"/>
      <c r="C38" s="63"/>
      <c r="D38" s="63"/>
      <c r="F38" s="63"/>
      <c r="G38" s="63"/>
      <c r="H38" s="63"/>
      <c r="I38" s="63"/>
    </row>
    <row r="39" ht="15.75" customHeight="1">
      <c r="A39" s="63"/>
      <c r="B39" s="63"/>
      <c r="C39" s="63"/>
      <c r="D39" s="63"/>
      <c r="F39" s="63"/>
      <c r="G39" s="63"/>
      <c r="H39" s="63"/>
      <c r="I39" s="63"/>
    </row>
    <row r="40" ht="15.75" customHeight="1">
      <c r="A40" s="63"/>
      <c r="B40" s="63"/>
      <c r="C40" s="63"/>
      <c r="D40" s="63"/>
      <c r="F40" s="63"/>
      <c r="G40" s="63"/>
      <c r="H40" s="63"/>
      <c r="I40" s="63"/>
    </row>
    <row r="41" ht="15.75" customHeight="1">
      <c r="A41" s="63"/>
      <c r="B41" s="63"/>
      <c r="C41" s="63"/>
      <c r="D41" s="63"/>
      <c r="F41" s="63"/>
      <c r="G41" s="63"/>
      <c r="H41" s="63"/>
      <c r="I41" s="63"/>
    </row>
    <row r="42" ht="15.75" customHeight="1">
      <c r="A42" s="63"/>
      <c r="B42" s="63"/>
      <c r="C42" s="63"/>
      <c r="D42" s="63"/>
      <c r="F42" s="63"/>
      <c r="G42" s="63"/>
      <c r="H42" s="63"/>
      <c r="I42" s="63"/>
    </row>
    <row r="43" ht="15.75" customHeight="1">
      <c r="A43" s="63"/>
      <c r="B43" s="63"/>
      <c r="C43" s="63"/>
      <c r="D43" s="63"/>
      <c r="F43" s="63"/>
      <c r="G43" s="63"/>
      <c r="H43" s="63"/>
      <c r="I43" s="63"/>
    </row>
    <row r="44" ht="15.75" customHeight="1">
      <c r="A44" s="63"/>
      <c r="B44" s="63"/>
      <c r="C44" s="63"/>
      <c r="D44" s="63"/>
      <c r="F44" s="63"/>
      <c r="G44" s="63"/>
      <c r="H44" s="63"/>
      <c r="I44" s="63"/>
    </row>
    <row r="45" ht="15.75" customHeight="1">
      <c r="A45" s="63"/>
      <c r="B45" s="63"/>
      <c r="C45" s="63"/>
      <c r="D45" s="63"/>
      <c r="F45" s="63"/>
      <c r="G45" s="63"/>
      <c r="H45" s="63"/>
      <c r="I45" s="63"/>
    </row>
    <row r="46" ht="15.75" customHeight="1">
      <c r="A46" s="63"/>
      <c r="B46" s="63"/>
      <c r="C46" s="63"/>
      <c r="D46" s="63"/>
      <c r="F46" s="63"/>
      <c r="G46" s="63"/>
      <c r="H46" s="63"/>
      <c r="I46" s="63"/>
    </row>
    <row r="47" ht="15.75" customHeight="1">
      <c r="A47" s="63"/>
      <c r="B47" s="63"/>
      <c r="C47" s="63"/>
      <c r="D47" s="63"/>
      <c r="F47" s="63"/>
      <c r="G47" s="63"/>
      <c r="H47" s="63"/>
      <c r="I47" s="6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16:D16"/>
    <mergeCell ref="F16:I16"/>
    <mergeCell ref="G13:H13"/>
    <mergeCell ref="B14:D14"/>
    <mergeCell ref="G14:I14"/>
    <mergeCell ref="C15:D15"/>
    <mergeCell ref="H15:I15"/>
    <mergeCell ref="B13:C13"/>
    <mergeCell ref="B10:D10"/>
    <mergeCell ref="G10:I10"/>
    <mergeCell ref="B11:D11"/>
    <mergeCell ref="G11:I11"/>
    <mergeCell ref="B12:D12"/>
    <mergeCell ref="G12:I12"/>
    <mergeCell ref="A7:D7"/>
    <mergeCell ref="A4:D4"/>
    <mergeCell ref="A5:D5"/>
    <mergeCell ref="F7:I7"/>
    <mergeCell ref="A8:D8"/>
    <mergeCell ref="F8:I8"/>
    <mergeCell ref="B9:D9"/>
    <mergeCell ref="G9:I9"/>
    <mergeCell ref="A1:A3"/>
    <mergeCell ref="F1:F3"/>
    <mergeCell ref="H25:I25"/>
    <mergeCell ref="H23:I23"/>
    <mergeCell ref="H24:I24"/>
    <mergeCell ref="A25:B25"/>
    <mergeCell ref="C25:D25"/>
    <mergeCell ref="F25:G25"/>
    <mergeCell ref="A26:B26"/>
    <mergeCell ref="C26:D26"/>
    <mergeCell ref="F26:G26"/>
    <mergeCell ref="H26:I26"/>
    <mergeCell ref="A24:B24"/>
    <mergeCell ref="C24:D24"/>
    <mergeCell ref="F24:G24"/>
    <mergeCell ref="F21:G21"/>
    <mergeCell ref="A23:B23"/>
    <mergeCell ref="C23:D23"/>
    <mergeCell ref="F23:G23"/>
    <mergeCell ref="F20:G20"/>
    <mergeCell ref="H20:I20"/>
    <mergeCell ref="A18:B18"/>
    <mergeCell ref="C18:D18"/>
    <mergeCell ref="F18:G18"/>
    <mergeCell ref="H18:I18"/>
    <mergeCell ref="A21:B21"/>
    <mergeCell ref="A19:B19"/>
    <mergeCell ref="C19:D19"/>
    <mergeCell ref="F19:G19"/>
    <mergeCell ref="H19:I19"/>
    <mergeCell ref="A20:B20"/>
    <mergeCell ref="C20:D20"/>
    <mergeCell ref="F4:I4"/>
    <mergeCell ref="F5:I5"/>
  </mergeCells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0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4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13">
        <v>44739.0</v>
      </c>
      <c r="C6" s="11" t="s">
        <v>7</v>
      </c>
      <c r="D6" s="14" t="s">
        <v>65</v>
      </c>
      <c r="F6" s="9" t="s">
        <v>5</v>
      </c>
      <c r="G6" s="13" t="str">
        <f>B6</f>
        <v>27-Jun-22</v>
      </c>
      <c r="H6" s="11" t="s">
        <v>7</v>
      </c>
      <c r="I6" s="14" t="str">
        <f>D6</f>
        <v>LC-33-2022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66</v>
      </c>
      <c r="C9" s="23"/>
      <c r="D9" s="24"/>
      <c r="F9" s="21" t="s">
        <v>12</v>
      </c>
      <c r="G9" s="22" t="str">
        <f t="shared" ref="G9:G13" si="1">B9</f>
        <v>MARIA VICTORIA P. BLANCA</v>
      </c>
      <c r="H9" s="23"/>
      <c r="I9" s="24"/>
    </row>
    <row r="10">
      <c r="A10" s="26" t="s">
        <v>15</v>
      </c>
      <c r="B10" s="27" t="s">
        <v>67</v>
      </c>
      <c r="C10" s="23"/>
      <c r="D10" s="24"/>
      <c r="F10" s="26" t="s">
        <v>15</v>
      </c>
      <c r="G10" s="22" t="str">
        <f t="shared" si="1"/>
        <v>Villa Sta. Maria Subd.(P1), B.N.O.</v>
      </c>
      <c r="H10" s="23"/>
      <c r="I10" s="24"/>
    </row>
    <row r="11">
      <c r="A11" s="26" t="s">
        <v>17</v>
      </c>
      <c r="B11" s="22" t="s">
        <v>68</v>
      </c>
      <c r="C11" s="23"/>
      <c r="D11" s="24"/>
      <c r="F11" s="26" t="s">
        <v>17</v>
      </c>
      <c r="G11" s="22" t="str">
        <f t="shared" si="1"/>
        <v>Proposed One Storey Residence</v>
      </c>
      <c r="H11" s="23"/>
      <c r="I11" s="24"/>
    </row>
    <row r="12">
      <c r="A12" s="26" t="s">
        <v>19</v>
      </c>
      <c r="B12" s="27" t="s">
        <v>69</v>
      </c>
      <c r="C12" s="23"/>
      <c r="D12" s="24"/>
      <c r="F12" s="26" t="s">
        <v>19</v>
      </c>
      <c r="G12" s="22" t="str">
        <f t="shared" si="1"/>
        <v>Lot 16 Blk.6, San Gregorio Village, B.N.O.</v>
      </c>
      <c r="H12" s="23"/>
      <c r="I12" s="24"/>
    </row>
    <row r="13">
      <c r="A13" s="26" t="s">
        <v>21</v>
      </c>
      <c r="B13" s="69">
        <v>300.0</v>
      </c>
      <c r="C13" s="23"/>
      <c r="D13" s="30" t="s">
        <v>22</v>
      </c>
      <c r="F13" s="26" t="s">
        <v>21</v>
      </c>
      <c r="G13" s="69" t="str">
        <f t="shared" si="1"/>
        <v>300</v>
      </c>
      <c r="H13" s="23"/>
      <c r="I13" s="30" t="s">
        <v>22</v>
      </c>
    </row>
    <row r="14">
      <c r="A14" s="31" t="s">
        <v>23</v>
      </c>
      <c r="B14" s="32" t="s">
        <v>24</v>
      </c>
      <c r="C14" s="23"/>
      <c r="D14" s="24"/>
      <c r="F14" s="31" t="s">
        <v>23</v>
      </c>
      <c r="G14" s="32" t="s">
        <v>24</v>
      </c>
      <c r="H14" s="23"/>
      <c r="I14" s="24"/>
    </row>
    <row r="15">
      <c r="A15" s="33" t="s">
        <v>25</v>
      </c>
      <c r="B15" s="34" t="s">
        <v>26</v>
      </c>
      <c r="C15" s="35">
        <v>3239272.75</v>
      </c>
      <c r="D15" s="24"/>
      <c r="F15" s="33" t="s">
        <v>25</v>
      </c>
      <c r="G15" s="34" t="s">
        <v>26</v>
      </c>
      <c r="H15" s="35" t="str">
        <f>C15</f>
        <v>  3,239,272.75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3562.0</v>
      </c>
      <c r="D18" s="20"/>
      <c r="F18" s="41" t="s">
        <v>30</v>
      </c>
      <c r="H18" s="42" t="str">
        <f>C18</f>
        <v>  3,562.00 </v>
      </c>
      <c r="I18" s="20"/>
      <c r="N18">
        <v>3239.0</v>
      </c>
    </row>
    <row r="19">
      <c r="A19" s="41" t="s">
        <v>32</v>
      </c>
      <c r="C19" s="69"/>
      <c r="D19" s="24"/>
      <c r="F19" s="41" t="s">
        <v>32</v>
      </c>
      <c r="H19" s="69"/>
      <c r="I19" s="24"/>
      <c r="N19">
        <v>323.0</v>
      </c>
    </row>
    <row r="20">
      <c r="A20" s="41" t="s">
        <v>34</v>
      </c>
      <c r="C20" s="46">
        <v>500.0</v>
      </c>
      <c r="D20" s="17"/>
      <c r="F20" s="41" t="s">
        <v>34</v>
      </c>
      <c r="H20" s="46" t="str">
        <f>C20</f>
        <v>  500.00 </v>
      </c>
      <c r="I20" s="17"/>
      <c r="N20" t="str">
        <f>SUM(N18:N19)</f>
        <v>3562</v>
      </c>
    </row>
    <row r="21" ht="19.5" customHeight="1">
      <c r="A21" s="47" t="s">
        <v>35</v>
      </c>
      <c r="C21" s="48" t="s">
        <v>26</v>
      </c>
      <c r="D21" s="49" t="str">
        <f>SUM(C18:D20)</f>
        <v>  4,062.00 </v>
      </c>
      <c r="F21" s="47" t="s">
        <v>35</v>
      </c>
      <c r="H21" s="48" t="s">
        <v>26</v>
      </c>
      <c r="I21" s="49" t="str">
        <f>D21</f>
        <v>  4,062.00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 t="s">
        <v>70</v>
      </c>
      <c r="B25" s="52"/>
      <c r="C25" s="57" t="s">
        <v>38</v>
      </c>
      <c r="D25" s="24"/>
      <c r="F25" s="56" t="str">
        <f t="shared" ref="F25:F26" si="2">A25</f>
        <v>Ar. Eugene A. Saligumba, UAP</v>
      </c>
      <c r="G25" s="52"/>
      <c r="H25" s="57" t="s">
        <v>38</v>
      </c>
      <c r="I25" s="24"/>
    </row>
    <row r="26" ht="15.75" customHeight="1">
      <c r="A26" s="58" t="s">
        <v>71</v>
      </c>
      <c r="B26" s="59"/>
      <c r="C26" s="62" t="s">
        <v>72</v>
      </c>
      <c r="D26" s="61"/>
      <c r="F26" s="58" t="str">
        <f t="shared" si="2"/>
        <v>Planning Staff</v>
      </c>
      <c r="G26" s="59"/>
      <c r="H26" s="62" t="str">
        <f>C26</f>
        <v> Zoning Administrator Designate</v>
      </c>
      <c r="I26" s="61"/>
    </row>
    <row r="27" ht="15.75" customHeight="1">
      <c r="H27" s="63"/>
    </row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A46" s="1"/>
      <c r="F46" s="1"/>
    </row>
    <row r="47" ht="15.75" customHeight="1">
      <c r="B47" s="3" t="s">
        <v>0</v>
      </c>
      <c r="C47" s="4"/>
      <c r="D47" s="4"/>
      <c r="G47" s="3" t="s">
        <v>0</v>
      </c>
      <c r="H47" s="4"/>
      <c r="I47" s="4"/>
    </row>
    <row r="48" ht="15.75" customHeight="1">
      <c r="B48" s="2" t="s">
        <v>1</v>
      </c>
      <c r="C48" s="5"/>
      <c r="D48" s="5"/>
      <c r="G48" s="2" t="s">
        <v>1</v>
      </c>
      <c r="H48" s="5"/>
      <c r="I48" s="5"/>
    </row>
    <row r="49" ht="15.75" customHeight="1">
      <c r="A49" s="6" t="s">
        <v>2</v>
      </c>
      <c r="F49" s="6" t="s">
        <v>2</v>
      </c>
    </row>
    <row r="50" ht="15.75" customHeight="1">
      <c r="A50" s="7" t="s">
        <v>3</v>
      </c>
      <c r="B50" s="8"/>
      <c r="C50" s="8"/>
      <c r="D50" s="8"/>
      <c r="F50" s="7" t="s">
        <v>4</v>
      </c>
      <c r="G50" s="8"/>
      <c r="H50" s="8"/>
      <c r="I50" s="8"/>
    </row>
    <row r="51" ht="15.75" customHeight="1">
      <c r="A51" s="9" t="s">
        <v>5</v>
      </c>
      <c r="B51" s="13">
        <v>44739.0</v>
      </c>
      <c r="C51" s="11" t="s">
        <v>7</v>
      </c>
      <c r="D51" s="14" t="s">
        <v>60</v>
      </c>
      <c r="F51" s="9" t="s">
        <v>5</v>
      </c>
      <c r="G51" s="13" t="str">
        <f>B51</f>
        <v>27-Jun-22</v>
      </c>
      <c r="H51" s="11" t="s">
        <v>7</v>
      </c>
      <c r="I51" s="14" t="str">
        <f>D51</f>
        <v>LC-36-2022</v>
      </c>
    </row>
    <row r="52" ht="15.75" customHeight="1">
      <c r="A52" s="15" t="s">
        <v>10</v>
      </c>
      <c r="B52" s="16"/>
      <c r="C52" s="16"/>
      <c r="D52" s="17"/>
      <c r="F52" s="15" t="s">
        <v>10</v>
      </c>
      <c r="G52" s="16"/>
      <c r="H52" s="16"/>
      <c r="I52" s="17"/>
    </row>
    <row r="53" ht="15.75" customHeight="1">
      <c r="A53" s="18" t="s">
        <v>11</v>
      </c>
      <c r="B53" s="19"/>
      <c r="C53" s="19"/>
      <c r="D53" s="20"/>
      <c r="F53" s="18" t="s">
        <v>11</v>
      </c>
      <c r="G53" s="19"/>
      <c r="H53" s="19"/>
      <c r="I53" s="20"/>
    </row>
    <row r="54" ht="15.75" customHeight="1">
      <c r="A54" s="21" t="s">
        <v>12</v>
      </c>
      <c r="B54" s="22" t="s">
        <v>73</v>
      </c>
      <c r="C54" s="23"/>
      <c r="D54" s="24"/>
      <c r="F54" s="21" t="s">
        <v>12</v>
      </c>
      <c r="G54" s="22" t="str">
        <f t="shared" ref="G54:G58" si="3">B54</f>
        <v>Christopher E. Rufo</v>
      </c>
      <c r="H54" s="23"/>
      <c r="I54" s="24"/>
    </row>
    <row r="55" ht="15.75" customHeight="1">
      <c r="A55" s="26" t="s">
        <v>15</v>
      </c>
      <c r="B55" s="27" t="s">
        <v>67</v>
      </c>
      <c r="C55" s="23"/>
      <c r="D55" s="24"/>
      <c r="F55" s="26" t="s">
        <v>15</v>
      </c>
      <c r="G55" s="22" t="str">
        <f t="shared" si="3"/>
        <v>Villa Sta. Maria Subd.(P1), B.N.O.</v>
      </c>
      <c r="H55" s="23"/>
      <c r="I55" s="24"/>
    </row>
    <row r="56" ht="15.75" customHeight="1">
      <c r="A56" s="26" t="s">
        <v>17</v>
      </c>
      <c r="B56" s="22" t="s">
        <v>68</v>
      </c>
      <c r="C56" s="23"/>
      <c r="D56" s="24"/>
      <c r="F56" s="26" t="s">
        <v>17</v>
      </c>
      <c r="G56" s="22" t="str">
        <f t="shared" si="3"/>
        <v>Proposed One Storey Residence</v>
      </c>
      <c r="H56" s="23"/>
      <c r="I56" s="24"/>
    </row>
    <row r="57" ht="15.75" customHeight="1">
      <c r="A57" s="26" t="s">
        <v>19</v>
      </c>
      <c r="B57" s="28" t="s">
        <v>74</v>
      </c>
      <c r="C57" s="23"/>
      <c r="D57" s="24"/>
      <c r="F57" s="26" t="s">
        <v>19</v>
      </c>
      <c r="G57" s="28" t="str">
        <f t="shared" si="3"/>
        <v>Lot 13 Block 12, Villa Sta. Maria Phase 1, Sto. Rosario</v>
      </c>
      <c r="H57" s="23"/>
      <c r="I57" s="24"/>
    </row>
    <row r="58" ht="15.75" customHeight="1">
      <c r="A58" s="26" t="s">
        <v>21</v>
      </c>
      <c r="B58" s="69">
        <v>80.0</v>
      </c>
      <c r="C58" s="23"/>
      <c r="D58" s="30" t="s">
        <v>22</v>
      </c>
      <c r="F58" s="26" t="s">
        <v>21</v>
      </c>
      <c r="G58" s="69" t="str">
        <f t="shared" si="3"/>
        <v>80</v>
      </c>
      <c r="H58" s="23"/>
      <c r="I58" s="30" t="s">
        <v>22</v>
      </c>
    </row>
    <row r="59" ht="15.75" customHeight="1">
      <c r="A59" s="31" t="s">
        <v>23</v>
      </c>
      <c r="B59" s="32" t="s">
        <v>24</v>
      </c>
      <c r="C59" s="23"/>
      <c r="D59" s="24"/>
      <c r="F59" s="31" t="s">
        <v>23</v>
      </c>
      <c r="G59" s="32" t="s">
        <v>24</v>
      </c>
      <c r="H59" s="23"/>
      <c r="I59" s="24"/>
    </row>
    <row r="60" ht="15.75" customHeight="1">
      <c r="A60" s="33" t="s">
        <v>25</v>
      </c>
      <c r="B60" s="34" t="s">
        <v>26</v>
      </c>
      <c r="C60" s="35">
        <v>600000.0</v>
      </c>
      <c r="D60" s="24"/>
      <c r="F60" s="33" t="s">
        <v>25</v>
      </c>
      <c r="G60" s="34" t="s">
        <v>26</v>
      </c>
      <c r="H60" s="35" t="str">
        <f>C60</f>
        <v>  600,000.00 </v>
      </c>
      <c r="I60" s="24"/>
    </row>
    <row r="61" ht="15.75" customHeight="1">
      <c r="A61" s="36" t="s">
        <v>27</v>
      </c>
      <c r="B61" s="16"/>
      <c r="C61" s="16"/>
      <c r="D61" s="17"/>
      <c r="F61" s="36" t="s">
        <v>27</v>
      </c>
      <c r="G61" s="16"/>
      <c r="H61" s="16"/>
      <c r="I61" s="17"/>
    </row>
    <row r="62" ht="15.75" customHeight="1">
      <c r="A62" s="37" t="s">
        <v>28</v>
      </c>
      <c r="B62" s="2"/>
      <c r="C62" s="2"/>
      <c r="D62" s="38"/>
      <c r="F62" s="37" t="s">
        <v>28</v>
      </c>
      <c r="G62" s="2"/>
      <c r="H62" s="2"/>
      <c r="I62" s="38"/>
    </row>
    <row r="63" ht="15.75" customHeight="1">
      <c r="A63" s="41" t="s">
        <v>30</v>
      </c>
      <c r="C63" s="42">
        <v>288.0</v>
      </c>
      <c r="D63" s="20"/>
      <c r="F63" s="41" t="s">
        <v>30</v>
      </c>
      <c r="H63" s="42" t="str">
        <f>C63</f>
        <v>  288.00 </v>
      </c>
      <c r="I63" s="20"/>
      <c r="N63">
        <v>3239.0</v>
      </c>
    </row>
    <row r="64" ht="15.75" customHeight="1">
      <c r="A64" s="41" t="s">
        <v>32</v>
      </c>
      <c r="C64" s="69"/>
      <c r="D64" s="24"/>
      <c r="F64" s="41" t="s">
        <v>32</v>
      </c>
      <c r="H64" s="69"/>
      <c r="I64" s="24"/>
      <c r="N64">
        <v>323.0</v>
      </c>
    </row>
    <row r="65" ht="15.75" customHeight="1">
      <c r="A65" s="41" t="s">
        <v>34</v>
      </c>
      <c r="C65" s="46">
        <v>500.0</v>
      </c>
      <c r="D65" s="17"/>
      <c r="F65" s="41" t="s">
        <v>34</v>
      </c>
      <c r="H65" s="46" t="str">
        <f>C65</f>
        <v>  500.00 </v>
      </c>
      <c r="I65" s="17"/>
      <c r="N65" t="str">
        <f>SUM(N63:N64)</f>
        <v>3562</v>
      </c>
    </row>
    <row r="66" ht="15.75" customHeight="1">
      <c r="A66" s="47" t="s">
        <v>35</v>
      </c>
      <c r="C66" s="48" t="s">
        <v>26</v>
      </c>
      <c r="D66" s="49" t="str">
        <f>SUM(C63:D65)</f>
        <v>  788.00 </v>
      </c>
      <c r="F66" s="47" t="s">
        <v>35</v>
      </c>
      <c r="H66" s="48" t="s">
        <v>26</v>
      </c>
      <c r="I66" s="49" t="str">
        <f>D66</f>
        <v>  788.00 </v>
      </c>
    </row>
    <row r="67" ht="15.75" customHeight="1">
      <c r="A67" s="50"/>
      <c r="B67" s="2"/>
      <c r="C67" s="2"/>
      <c r="D67" s="38"/>
      <c r="F67" s="50"/>
      <c r="G67" s="2"/>
      <c r="H67" s="2"/>
      <c r="I67" s="38"/>
    </row>
    <row r="68" ht="15.75" customHeight="1">
      <c r="A68" s="51" t="s">
        <v>36</v>
      </c>
      <c r="B68" s="52"/>
      <c r="C68" s="53" t="s">
        <v>37</v>
      </c>
      <c r="D68" s="24"/>
      <c r="F68" s="51" t="s">
        <v>36</v>
      </c>
      <c r="G68" s="52"/>
      <c r="H68" s="53" t="s">
        <v>37</v>
      </c>
      <c r="I68" s="24"/>
    </row>
    <row r="69" ht="15.75" customHeight="1">
      <c r="A69" s="54"/>
      <c r="B69" s="52"/>
      <c r="C69" s="55"/>
      <c r="D69" s="24"/>
      <c r="F69" s="54"/>
      <c r="G69" s="52"/>
      <c r="H69" s="55"/>
      <c r="I69" s="24"/>
    </row>
    <row r="70" ht="15.75" customHeight="1">
      <c r="A70" s="56" t="s">
        <v>70</v>
      </c>
      <c r="B70" s="52"/>
      <c r="C70" s="57" t="s">
        <v>38</v>
      </c>
      <c r="D70" s="24"/>
      <c r="F70" s="56" t="str">
        <f t="shared" ref="F70:F71" si="4">A70</f>
        <v>Ar. Eugene A. Saligumba, UAP</v>
      </c>
      <c r="G70" s="52"/>
      <c r="H70" s="57" t="s">
        <v>38</v>
      </c>
      <c r="I70" s="24"/>
    </row>
    <row r="71" ht="15.75" customHeight="1">
      <c r="A71" s="58" t="s">
        <v>71</v>
      </c>
      <c r="B71" s="59"/>
      <c r="C71" s="60" t="s">
        <v>40</v>
      </c>
      <c r="D71" s="61"/>
      <c r="F71" s="58" t="str">
        <f t="shared" si="4"/>
        <v>Planning Staff</v>
      </c>
      <c r="G71" s="59"/>
      <c r="H71" s="60" t="s">
        <v>40</v>
      </c>
      <c r="I71" s="61"/>
    </row>
    <row r="72" ht="15.75" customHeight="1">
      <c r="H72" s="63"/>
    </row>
    <row r="73" ht="15.75" customHeight="1">
      <c r="A73" s="63" t="s">
        <v>41</v>
      </c>
      <c r="B73" s="63"/>
      <c r="C73" s="63"/>
      <c r="D73" s="63"/>
      <c r="F73" s="63" t="s">
        <v>41</v>
      </c>
      <c r="G73" s="63"/>
      <c r="H73" s="63"/>
      <c r="I73" s="63"/>
    </row>
    <row r="74" ht="15.75" customHeight="1">
      <c r="A74" s="63" t="s">
        <v>43</v>
      </c>
      <c r="B74" s="63"/>
      <c r="C74" s="63"/>
      <c r="D74" s="63"/>
      <c r="F74" s="63" t="s">
        <v>43</v>
      </c>
      <c r="G74" s="63"/>
      <c r="H74" s="63"/>
      <c r="I74" s="6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2">
    <mergeCell ref="A61:D61"/>
    <mergeCell ref="F61:I61"/>
    <mergeCell ref="G58:H58"/>
    <mergeCell ref="B59:D59"/>
    <mergeCell ref="G59:I59"/>
    <mergeCell ref="C60:D60"/>
    <mergeCell ref="H60:I60"/>
    <mergeCell ref="B58:C58"/>
    <mergeCell ref="B55:D55"/>
    <mergeCell ref="G55:I55"/>
    <mergeCell ref="B56:D56"/>
    <mergeCell ref="G56:I56"/>
    <mergeCell ref="B57:D57"/>
    <mergeCell ref="G57:I57"/>
    <mergeCell ref="H70:I70"/>
    <mergeCell ref="H68:I68"/>
    <mergeCell ref="H69:I69"/>
    <mergeCell ref="A70:B70"/>
    <mergeCell ref="C70:D70"/>
    <mergeCell ref="F70:G70"/>
    <mergeCell ref="A71:B71"/>
    <mergeCell ref="C71:D71"/>
    <mergeCell ref="F71:G71"/>
    <mergeCell ref="H71:I71"/>
    <mergeCell ref="A69:B69"/>
    <mergeCell ref="C69:D69"/>
    <mergeCell ref="F69:G69"/>
    <mergeCell ref="F66:G66"/>
    <mergeCell ref="A68:B68"/>
    <mergeCell ref="C68:D68"/>
    <mergeCell ref="F68:G68"/>
    <mergeCell ref="F65:G65"/>
    <mergeCell ref="H65:I65"/>
    <mergeCell ref="A63:B63"/>
    <mergeCell ref="C63:D63"/>
    <mergeCell ref="F63:G63"/>
    <mergeCell ref="H63:I63"/>
    <mergeCell ref="A66:B66"/>
    <mergeCell ref="A64:B64"/>
    <mergeCell ref="C64:D64"/>
    <mergeCell ref="F64:G64"/>
    <mergeCell ref="H64:I64"/>
    <mergeCell ref="A65:B65"/>
    <mergeCell ref="C65:D65"/>
    <mergeCell ref="F49:I49"/>
    <mergeCell ref="F50:I50"/>
    <mergeCell ref="A21:B21"/>
    <mergeCell ref="A20:B20"/>
    <mergeCell ref="C24:D24"/>
    <mergeCell ref="F24:G24"/>
    <mergeCell ref="C23:D23"/>
    <mergeCell ref="F23:G23"/>
    <mergeCell ref="A24:B24"/>
    <mergeCell ref="F20:G20"/>
    <mergeCell ref="H20:I20"/>
    <mergeCell ref="F21:G21"/>
    <mergeCell ref="A23:B23"/>
    <mergeCell ref="C20:D20"/>
    <mergeCell ref="H24:I24"/>
    <mergeCell ref="H23:I23"/>
    <mergeCell ref="A8:D8"/>
    <mergeCell ref="B9:D9"/>
    <mergeCell ref="A1:A3"/>
    <mergeCell ref="F1:F3"/>
    <mergeCell ref="F4:I4"/>
    <mergeCell ref="F5:I5"/>
    <mergeCell ref="F7:I7"/>
    <mergeCell ref="F8:I8"/>
    <mergeCell ref="A4:D4"/>
    <mergeCell ref="A5:D5"/>
    <mergeCell ref="A7:D7"/>
    <mergeCell ref="G9:I9"/>
    <mergeCell ref="G10:I10"/>
    <mergeCell ref="G11:I11"/>
    <mergeCell ref="B10:D10"/>
    <mergeCell ref="F52:I52"/>
    <mergeCell ref="A53:D53"/>
    <mergeCell ref="F53:I53"/>
    <mergeCell ref="B54:D54"/>
    <mergeCell ref="G54:I54"/>
    <mergeCell ref="A46:A48"/>
    <mergeCell ref="F46:F48"/>
    <mergeCell ref="A25:B25"/>
    <mergeCell ref="C25:D25"/>
    <mergeCell ref="F25:G25"/>
    <mergeCell ref="H25:I25"/>
    <mergeCell ref="A26:B26"/>
    <mergeCell ref="C26:D26"/>
    <mergeCell ref="F26:G26"/>
    <mergeCell ref="H26:I26"/>
    <mergeCell ref="C15:D15"/>
    <mergeCell ref="A16:D16"/>
    <mergeCell ref="G12:I12"/>
    <mergeCell ref="G13:H13"/>
    <mergeCell ref="G14:I14"/>
    <mergeCell ref="H15:I15"/>
    <mergeCell ref="F16:I16"/>
    <mergeCell ref="A18:B18"/>
    <mergeCell ref="A19:B19"/>
    <mergeCell ref="C18:D18"/>
    <mergeCell ref="C19:D19"/>
    <mergeCell ref="F18:G18"/>
    <mergeCell ref="H18:I18"/>
    <mergeCell ref="F19:G19"/>
    <mergeCell ref="H19:I19"/>
    <mergeCell ref="A52:D52"/>
    <mergeCell ref="A49:D49"/>
    <mergeCell ref="A50:D50"/>
    <mergeCell ref="B11:D11"/>
    <mergeCell ref="B12:D12"/>
    <mergeCell ref="B14:D14"/>
    <mergeCell ref="B13:C13"/>
  </mergeCells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86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0" width="8.71"/>
    <col customWidth="1" min="11" max="11" width="17.0"/>
    <col customWidth="1" min="12" max="12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75</v>
      </c>
      <c r="C6" s="11" t="s">
        <v>7</v>
      </c>
      <c r="D6" s="14" t="s">
        <v>76</v>
      </c>
      <c r="F6" s="9" t="s">
        <v>5</v>
      </c>
      <c r="G6" s="70" t="str">
        <f>B6</f>
        <v>Sept.10,2019</v>
      </c>
      <c r="H6" s="11" t="s">
        <v>7</v>
      </c>
      <c r="I6" s="14" t="str">
        <f>D6</f>
        <v>LC-19-00001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77</v>
      </c>
      <c r="C9" s="23"/>
      <c r="D9" s="24"/>
      <c r="F9" s="21" t="s">
        <v>12</v>
      </c>
      <c r="G9" s="22" t="str">
        <f t="shared" ref="G9:G13" si="1">B9</f>
        <v>NEIL JOHN BANDOLA</v>
      </c>
      <c r="H9" s="23"/>
      <c r="I9" s="24"/>
    </row>
    <row r="10">
      <c r="A10" s="26" t="s">
        <v>15</v>
      </c>
      <c r="B10" s="22" t="s">
        <v>78</v>
      </c>
      <c r="C10" s="23"/>
      <c r="D10" s="24"/>
      <c r="F10" s="26" t="s">
        <v>15</v>
      </c>
      <c r="G10" s="22" t="str">
        <f t="shared" si="1"/>
        <v>PRK. TUMPOK, BRGY LABUGAY</v>
      </c>
      <c r="H10" s="23"/>
      <c r="I10" s="24"/>
    </row>
    <row r="11">
      <c r="A11" s="26" t="s">
        <v>17</v>
      </c>
      <c r="B11" s="22"/>
      <c r="C11" s="23"/>
      <c r="D11" s="24"/>
      <c r="F11" s="26" t="s">
        <v>17</v>
      </c>
      <c r="G11" s="22" t="str">
        <f t="shared" si="1"/>
        <v/>
      </c>
      <c r="H11" s="23"/>
      <c r="I11" s="24"/>
    </row>
    <row r="12">
      <c r="A12" s="26" t="s">
        <v>19</v>
      </c>
      <c r="B12" s="22"/>
      <c r="C12" s="23"/>
      <c r="D12" s="24"/>
      <c r="F12" s="26" t="s">
        <v>19</v>
      </c>
      <c r="G12" s="22" t="str">
        <f t="shared" si="1"/>
        <v/>
      </c>
      <c r="H12" s="23"/>
      <c r="I12" s="24"/>
    </row>
    <row r="13">
      <c r="A13" s="26" t="s">
        <v>21</v>
      </c>
      <c r="B13" s="69"/>
      <c r="C13" s="23"/>
      <c r="D13" s="30" t="s">
        <v>22</v>
      </c>
      <c r="F13" s="26" t="s">
        <v>21</v>
      </c>
      <c r="G13" s="69" t="str">
        <f t="shared" si="1"/>
        <v/>
      </c>
      <c r="H13" s="23"/>
      <c r="I13" s="30" t="s">
        <v>22</v>
      </c>
    </row>
    <row r="14">
      <c r="A14" s="31" t="s">
        <v>23</v>
      </c>
      <c r="B14" s="32" t="s">
        <v>79</v>
      </c>
      <c r="C14" s="23"/>
      <c r="D14" s="24"/>
      <c r="F14" s="31" t="s">
        <v>23</v>
      </c>
      <c r="G14" s="32" t="s">
        <v>79</v>
      </c>
      <c r="H14" s="23"/>
      <c r="I14" s="24"/>
    </row>
    <row r="15">
      <c r="A15" s="33" t="s">
        <v>25</v>
      </c>
      <c r="B15" s="34" t="s">
        <v>26</v>
      </c>
      <c r="C15" s="35">
        <v>3000000.0</v>
      </c>
      <c r="D15" s="24"/>
      <c r="F15" s="33" t="s">
        <v>25</v>
      </c>
      <c r="G15" s="34" t="s">
        <v>26</v>
      </c>
      <c r="H15" s="35" t="str">
        <f>C15</f>
        <v>  3,000,000.00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  <c r="K17" s="39" t="str">
        <f>C15-2000000</f>
        <v>  1,000,000.00 </v>
      </c>
      <c r="L17" s="40" t="s">
        <v>80</v>
      </c>
    </row>
    <row r="18">
      <c r="A18" s="41" t="s">
        <v>30</v>
      </c>
      <c r="C18" s="42" t="str">
        <f>3600+K19</f>
        <v>  4,600.00 </v>
      </c>
      <c r="D18" s="20"/>
      <c r="F18" s="41" t="s">
        <v>30</v>
      </c>
      <c r="H18" s="42" t="str">
        <f>C18</f>
        <v>  4,600.00 </v>
      </c>
      <c r="I18" s="20"/>
      <c r="K18" s="43" t="str">
        <f>K17*0.01</f>
        <v>  10,000.000 </v>
      </c>
      <c r="L18" s="40" t="s">
        <v>31</v>
      </c>
    </row>
    <row r="19">
      <c r="A19" s="41" t="s">
        <v>32</v>
      </c>
      <c r="C19" s="69"/>
      <c r="D19" s="24"/>
      <c r="F19" s="41" t="s">
        <v>32</v>
      </c>
      <c r="H19" s="69"/>
      <c r="I19" s="24"/>
      <c r="K19" s="43" t="str">
        <f>K18*0.1</f>
        <v>  1,000.000 </v>
      </c>
      <c r="L19" s="45" t="s">
        <v>33</v>
      </c>
    </row>
    <row r="20">
      <c r="A20" s="41" t="s">
        <v>34</v>
      </c>
      <c r="C20" s="46" t="str">
        <f>720*1</f>
        <v>  720.00 </v>
      </c>
      <c r="D20" s="17"/>
      <c r="F20" s="41" t="s">
        <v>34</v>
      </c>
      <c r="H20" s="46" t="str">
        <f>C20</f>
        <v>  720.00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5,320.00 </v>
      </c>
      <c r="F21" s="47" t="s">
        <v>35</v>
      </c>
      <c r="H21" s="48" t="s">
        <v>26</v>
      </c>
      <c r="I21" s="49" t="str">
        <f>SUM(H18:I20)</f>
        <v>  5,320.00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29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1" width="8.71"/>
    <col customWidth="1" min="12" max="12" width="14.29"/>
    <col customWidth="1" min="13" max="13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81</v>
      </c>
      <c r="C6" s="11" t="s">
        <v>7</v>
      </c>
      <c r="D6" s="14" t="s">
        <v>82</v>
      </c>
      <c r="F6" s="9" t="s">
        <v>5</v>
      </c>
      <c r="G6" s="70" t="str">
        <f>B6</f>
        <v>July 23,2021</v>
      </c>
      <c r="H6" s="11" t="s">
        <v>7</v>
      </c>
      <c r="I6" s="14" t="str">
        <f>D6</f>
        <v>LC-37-2001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tr">
        <f>'Residential-200K+'!B9:D9</f>
        <v>Nelia T. Resuma</v>
      </c>
      <c r="C9" s="23"/>
      <c r="D9" s="24"/>
      <c r="F9" s="21" t="s">
        <v>12</v>
      </c>
      <c r="G9" s="22" t="str">
        <f t="shared" ref="G9:G13" si="1">B9</f>
        <v>Nelia T. Resuma</v>
      </c>
      <c r="H9" s="23"/>
      <c r="I9" s="24"/>
    </row>
    <row r="10">
      <c r="A10" s="26" t="s">
        <v>15</v>
      </c>
      <c r="B10" s="22" t="s">
        <v>83</v>
      </c>
      <c r="C10" s="23"/>
      <c r="D10" s="24"/>
      <c r="F10" s="26" t="s">
        <v>15</v>
      </c>
      <c r="G10" s="22" t="str">
        <f t="shared" si="1"/>
        <v>Brgy. Paglaum 1, B.N.O.</v>
      </c>
      <c r="H10" s="23"/>
      <c r="I10" s="24"/>
    </row>
    <row r="11">
      <c r="A11" s="26" t="s">
        <v>17</v>
      </c>
      <c r="B11" s="22" t="s">
        <v>84</v>
      </c>
      <c r="C11" s="23"/>
      <c r="D11" s="24"/>
      <c r="F11" s="26" t="s">
        <v>17</v>
      </c>
      <c r="G11" s="22" t="str">
        <f t="shared" si="1"/>
        <v>Construction of Two- Store Residence</v>
      </c>
      <c r="H11" s="23"/>
      <c r="I11" s="24"/>
    </row>
    <row r="12">
      <c r="A12" s="26" t="s">
        <v>19</v>
      </c>
      <c r="B12" s="27" t="s">
        <v>85</v>
      </c>
      <c r="C12" s="23"/>
      <c r="D12" s="24"/>
      <c r="F12" s="26" t="s">
        <v>19</v>
      </c>
      <c r="G12" s="22" t="str">
        <f t="shared" si="1"/>
        <v>Lot29 Blk.12, (P1)Villa Sta. Maria Subd., Brgy. San Teodoro</v>
      </c>
      <c r="H12" s="23"/>
      <c r="I12" s="24"/>
    </row>
    <row r="13">
      <c r="A13" s="26" t="s">
        <v>21</v>
      </c>
      <c r="B13" s="69">
        <v>165.0</v>
      </c>
      <c r="C13" s="23"/>
      <c r="D13" s="30" t="s">
        <v>22</v>
      </c>
      <c r="F13" s="26" t="s">
        <v>21</v>
      </c>
      <c r="G13" s="69" t="str">
        <f t="shared" si="1"/>
        <v>165</v>
      </c>
      <c r="H13" s="23"/>
      <c r="I13" s="30" t="s">
        <v>22</v>
      </c>
    </row>
    <row r="14">
      <c r="A14" s="31" t="s">
        <v>23</v>
      </c>
      <c r="B14" s="32" t="s">
        <v>79</v>
      </c>
      <c r="C14" s="23"/>
      <c r="D14" s="24"/>
      <c r="F14" s="31" t="s">
        <v>23</v>
      </c>
      <c r="G14" s="32" t="s">
        <v>79</v>
      </c>
      <c r="H14" s="23"/>
      <c r="I14" s="24"/>
    </row>
    <row r="15">
      <c r="A15" s="33" t="s">
        <v>25</v>
      </c>
      <c r="B15" s="34" t="s">
        <v>26</v>
      </c>
      <c r="C15" s="35">
        <v>2076000.0</v>
      </c>
      <c r="D15" s="24"/>
      <c r="F15" s="33" t="s">
        <v>25</v>
      </c>
      <c r="G15" s="34" t="s">
        <v>26</v>
      </c>
      <c r="H15" s="35" t="str">
        <f>C15</f>
        <v>  2,076,000.00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2160.0</v>
      </c>
      <c r="D18" s="20"/>
      <c r="F18" s="41" t="s">
        <v>30</v>
      </c>
      <c r="H18" s="42" t="str">
        <f>C18</f>
        <v>  2,160.00 </v>
      </c>
      <c r="I18" s="20"/>
      <c r="L18" s="39" t="str">
        <f>C15</f>
        <v>  2,076,000.00 </v>
      </c>
      <c r="M18" s="40" t="s">
        <v>29</v>
      </c>
    </row>
    <row r="19">
      <c r="A19" s="41" t="s">
        <v>32</v>
      </c>
      <c r="C19" s="69"/>
      <c r="D19" s="24"/>
      <c r="F19" s="41" t="s">
        <v>32</v>
      </c>
      <c r="H19" s="69"/>
      <c r="I19" s="24"/>
      <c r="L19" s="43" t="str">
        <f>L18*0.01</f>
        <v>  20,760.000 </v>
      </c>
      <c r="M19" s="40" t="s">
        <v>31</v>
      </c>
    </row>
    <row r="20">
      <c r="A20" s="41" t="s">
        <v>34</v>
      </c>
      <c r="C20" s="46">
        <v>500.0</v>
      </c>
      <c r="D20" s="17"/>
      <c r="F20" s="41" t="s">
        <v>34</v>
      </c>
      <c r="H20" s="46">
        <v>720.0</v>
      </c>
      <c r="I20" s="17"/>
      <c r="L20" s="43" t="str">
        <f>L19*0.1</f>
        <v>  2,076.000 </v>
      </c>
      <c r="M20" s="45" t="s">
        <v>33</v>
      </c>
    </row>
    <row r="21" ht="19.5" customHeight="1">
      <c r="A21" s="47" t="s">
        <v>35</v>
      </c>
      <c r="C21" s="48" t="s">
        <v>26</v>
      </c>
      <c r="D21" s="49" t="str">
        <f>SUM(C18:D20)</f>
        <v>  2,660.00 </v>
      </c>
      <c r="F21" s="47" t="s">
        <v>35</v>
      </c>
      <c r="H21" s="48" t="s">
        <v>42</v>
      </c>
      <c r="I21" s="49" t="str">
        <f>SUM(H18:I20)</f>
        <v>  2,880.00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29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1" width="8.71"/>
    <col customWidth="1" min="12" max="12" width="12.0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86</v>
      </c>
      <c r="C6" s="11" t="s">
        <v>7</v>
      </c>
      <c r="D6" s="14" t="s">
        <v>87</v>
      </c>
      <c r="F6" s="9" t="s">
        <v>5</v>
      </c>
      <c r="G6" s="70" t="str">
        <f>B6</f>
        <v>Sept. 15, 2020</v>
      </c>
      <c r="H6" s="11" t="s">
        <v>7</v>
      </c>
      <c r="I6" s="14" t="str">
        <f>D6</f>
        <v>LC-20-00089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88</v>
      </c>
      <c r="C9" s="23"/>
      <c r="D9" s="24"/>
      <c r="F9" s="21" t="s">
        <v>12</v>
      </c>
      <c r="G9" s="22" t="str">
        <f t="shared" ref="G9:G14" si="1">B9</f>
        <v>PETER CLAY GANZA TONOGBANUA</v>
      </c>
      <c r="H9" s="23"/>
      <c r="I9" s="24"/>
    </row>
    <row r="10">
      <c r="A10" s="26" t="s">
        <v>15</v>
      </c>
      <c r="B10" s="27" t="s">
        <v>89</v>
      </c>
      <c r="C10" s="23"/>
      <c r="D10" s="24"/>
      <c r="F10" s="26" t="s">
        <v>15</v>
      </c>
      <c r="G10" s="28" t="str">
        <f t="shared" si="1"/>
        <v>Lot4 Blk.5, Carmenville Subd., Brgy. Enclaro, B.N.O</v>
      </c>
      <c r="H10" s="23"/>
      <c r="I10" s="24"/>
    </row>
    <row r="11">
      <c r="A11" s="26" t="s">
        <v>17</v>
      </c>
      <c r="B11" s="71" t="s">
        <v>90</v>
      </c>
      <c r="C11" s="23"/>
      <c r="D11" s="24"/>
      <c r="F11" s="26" t="s">
        <v>17</v>
      </c>
      <c r="G11" s="71" t="str">
        <f t="shared" si="1"/>
        <v>ONE-STOREY RESIDENCE</v>
      </c>
      <c r="H11" s="23"/>
      <c r="I11" s="24"/>
    </row>
    <row r="12">
      <c r="A12" s="26" t="s">
        <v>19</v>
      </c>
      <c r="B12" s="71" t="str">
        <f>B10</f>
        <v>Lot4 Blk.5, Carmenville Subd., Brgy. Enclaro, B.N.O</v>
      </c>
      <c r="C12" s="23"/>
      <c r="D12" s="24"/>
      <c r="F12" s="26" t="s">
        <v>19</v>
      </c>
      <c r="G12" s="28" t="str">
        <f t="shared" si="1"/>
        <v>Lot4 Blk.5, Carmenville Subd., Brgy. Enclaro, B.N.O</v>
      </c>
      <c r="H12" s="23"/>
      <c r="I12" s="24"/>
    </row>
    <row r="13">
      <c r="A13" s="26" t="s">
        <v>21</v>
      </c>
      <c r="B13" s="69">
        <v>385.0</v>
      </c>
      <c r="C13" s="23"/>
      <c r="D13" s="30" t="s">
        <v>22</v>
      </c>
      <c r="F13" s="26" t="s">
        <v>21</v>
      </c>
      <c r="G13" s="69" t="str">
        <f t="shared" si="1"/>
        <v>385</v>
      </c>
      <c r="H13" s="23"/>
      <c r="I13" s="30" t="s">
        <v>22</v>
      </c>
    </row>
    <row r="14">
      <c r="A14" s="31" t="s">
        <v>23</v>
      </c>
      <c r="B14" s="32" t="s">
        <v>79</v>
      </c>
      <c r="C14" s="23"/>
      <c r="D14" s="24"/>
      <c r="F14" s="31" t="s">
        <v>23</v>
      </c>
      <c r="G14" s="32" t="str">
        <f t="shared" si="1"/>
        <v>APARTMENT/TOWNHOUSE</v>
      </c>
      <c r="H14" s="23"/>
      <c r="I14" s="24"/>
    </row>
    <row r="15">
      <c r="A15" s="33" t="s">
        <v>25</v>
      </c>
      <c r="B15" s="34" t="s">
        <v>26</v>
      </c>
      <c r="C15" s="35">
        <v>2880000.0</v>
      </c>
      <c r="D15" s="24"/>
      <c r="F15" s="33" t="s">
        <v>25</v>
      </c>
      <c r="G15" s="34" t="s">
        <v>26</v>
      </c>
      <c r="H15" s="35" t="str">
        <f>C15</f>
        <v>  2,880,000.00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2160.0</v>
      </c>
      <c r="D18" s="20"/>
      <c r="F18" s="41" t="s">
        <v>30</v>
      </c>
      <c r="H18" s="42">
        <v>1440.0</v>
      </c>
      <c r="I18" s="20"/>
    </row>
    <row r="19">
      <c r="A19" s="41" t="s">
        <v>32</v>
      </c>
      <c r="C19" s="42" t="str">
        <f>C16*L22</f>
        <v>  -   </v>
      </c>
      <c r="D19" s="20"/>
      <c r="F19" s="41" t="s">
        <v>32</v>
      </c>
      <c r="H19" s="44" t="str">
        <f>C19</f>
        <v>  -   </v>
      </c>
      <c r="I19" s="24"/>
      <c r="L19" s="68" t="str">
        <f>C15*L21</f>
        <v>  288,000.00 </v>
      </c>
    </row>
    <row r="20">
      <c r="A20" s="41" t="s">
        <v>34</v>
      </c>
      <c r="C20" s="46">
        <v>500.0</v>
      </c>
      <c r="D20" s="17"/>
      <c r="F20" s="41" t="s">
        <v>34</v>
      </c>
      <c r="H20" s="46">
        <v>720.0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2,660.00 </v>
      </c>
      <c r="F21" s="47" t="s">
        <v>35</v>
      </c>
      <c r="H21" s="48" t="s">
        <v>26</v>
      </c>
      <c r="I21" s="49" t="str">
        <f>SUM(H18:I20)</f>
        <v>  2,160.00 </v>
      </c>
      <c r="L21" s="67">
        <v>0.1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  <c r="L22" s="67">
        <v>0.01</v>
      </c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3.57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0" width="8.71"/>
    <col customWidth="1" min="11" max="11" width="15.0"/>
    <col customWidth="1" min="12" max="12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91</v>
      </c>
      <c r="C6" s="11" t="s">
        <v>7</v>
      </c>
      <c r="D6" s="14" t="s">
        <v>92</v>
      </c>
      <c r="F6" s="9" t="s">
        <v>5</v>
      </c>
      <c r="G6" s="70" t="str">
        <f>B6</f>
        <v>January 12,2021</v>
      </c>
      <c r="H6" s="11" t="s">
        <v>7</v>
      </c>
      <c r="I6" s="14" t="str">
        <f>D6</f>
        <v>LC-21-0004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93</v>
      </c>
      <c r="C9" s="23"/>
      <c r="D9" s="24"/>
      <c r="F9" s="21" t="s">
        <v>12</v>
      </c>
      <c r="G9" s="22" t="str">
        <f t="shared" ref="G9:G11" si="1">B9</f>
        <v>JLL AGRICULTURAL AND DEVT. CORP</v>
      </c>
      <c r="H9" s="23"/>
      <c r="I9" s="24"/>
    </row>
    <row r="10">
      <c r="A10" s="26" t="s">
        <v>15</v>
      </c>
      <c r="B10" s="27" t="s">
        <v>94</v>
      </c>
      <c r="C10" s="23"/>
      <c r="D10" s="24"/>
      <c r="F10" s="26" t="s">
        <v>15</v>
      </c>
      <c r="G10" s="22" t="str">
        <f t="shared" si="1"/>
        <v>Mt. Carmel Arcade,Brgy. Progreso, B.N.O.</v>
      </c>
      <c r="H10" s="23"/>
      <c r="I10" s="24"/>
    </row>
    <row r="11">
      <c r="A11" s="26" t="s">
        <v>17</v>
      </c>
      <c r="B11" s="22" t="s">
        <v>95</v>
      </c>
      <c r="C11" s="23"/>
      <c r="D11" s="24"/>
      <c r="F11" s="26" t="s">
        <v>17</v>
      </c>
      <c r="G11" s="22" t="str">
        <f t="shared" si="1"/>
        <v>Const. of Single Storey Commercial Bldg.</v>
      </c>
      <c r="H11" s="23"/>
      <c r="I11" s="24"/>
    </row>
    <row r="12">
      <c r="A12" s="26" t="s">
        <v>19</v>
      </c>
      <c r="B12" s="22" t="s">
        <v>96</v>
      </c>
      <c r="C12" s="23"/>
      <c r="D12" s="24"/>
      <c r="F12" s="26" t="s">
        <v>19</v>
      </c>
      <c r="G12" s="22" t="str">
        <f> B12</f>
        <v>Lot 11, Carmen Streer, Brgy. Progreso</v>
      </c>
      <c r="H12" s="23"/>
      <c r="I12" s="24"/>
    </row>
    <row r="13">
      <c r="A13" s="26" t="s">
        <v>21</v>
      </c>
      <c r="B13" s="69">
        <v>869.0</v>
      </c>
      <c r="C13" s="23"/>
      <c r="D13" s="30" t="s">
        <v>22</v>
      </c>
      <c r="F13" s="26" t="s">
        <v>21</v>
      </c>
      <c r="G13" s="69" t="str">
        <f>B13</f>
        <v>869</v>
      </c>
      <c r="H13" s="23"/>
      <c r="I13" s="30" t="s">
        <v>22</v>
      </c>
    </row>
    <row r="14">
      <c r="A14" s="31" t="s">
        <v>23</v>
      </c>
      <c r="B14" s="32" t="s">
        <v>97</v>
      </c>
      <c r="C14" s="23"/>
      <c r="D14" s="24"/>
      <c r="F14" s="31" t="s">
        <v>23</v>
      </c>
      <c r="G14" s="32" t="s">
        <v>97</v>
      </c>
      <c r="H14" s="23"/>
      <c r="I14" s="24"/>
    </row>
    <row r="15">
      <c r="A15" s="33" t="s">
        <v>25</v>
      </c>
      <c r="B15" s="34" t="s">
        <v>26</v>
      </c>
      <c r="C15" s="35">
        <v>3880944.09</v>
      </c>
      <c r="D15" s="24"/>
      <c r="F15" s="33" t="s">
        <v>25</v>
      </c>
      <c r="G15" s="34" t="s">
        <v>26</v>
      </c>
      <c r="H15" s="35" t="str">
        <f>C15</f>
        <v>  3,880,944.09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  <c r="K17" s="39" t="str">
        <f>C15-2000000</f>
        <v>  1,880,944.09 </v>
      </c>
      <c r="L17" s="40" t="s">
        <v>80</v>
      </c>
    </row>
    <row r="18">
      <c r="A18" s="41" t="s">
        <v>30</v>
      </c>
      <c r="C18" s="42" t="str">
        <f>3600+K19</f>
        <v>  5,480.94 </v>
      </c>
      <c r="D18" s="20"/>
      <c r="F18" s="41" t="s">
        <v>30</v>
      </c>
      <c r="H18" s="42" t="str">
        <f>C18</f>
        <v>  5,480.94 </v>
      </c>
      <c r="I18" s="20"/>
      <c r="K18" s="43" t="str">
        <f>K17*0.01</f>
        <v>  18,809.441 </v>
      </c>
      <c r="L18" s="40" t="s">
        <v>31</v>
      </c>
    </row>
    <row r="19">
      <c r="A19" s="41" t="s">
        <v>32</v>
      </c>
      <c r="C19" s="69"/>
      <c r="D19" s="24"/>
      <c r="F19" s="41" t="s">
        <v>32</v>
      </c>
      <c r="H19" s="69"/>
      <c r="I19" s="24"/>
      <c r="K19" s="43" t="str">
        <f>K18*0.1</f>
        <v>  1,880.944 </v>
      </c>
      <c r="L19" s="45" t="s">
        <v>33</v>
      </c>
    </row>
    <row r="20">
      <c r="A20" s="41" t="s">
        <v>34</v>
      </c>
      <c r="C20" s="46" t="str">
        <f>720*1</f>
        <v>  720.00 </v>
      </c>
      <c r="D20" s="17"/>
      <c r="F20" s="41" t="s">
        <v>34</v>
      </c>
      <c r="H20" s="46" t="str">
        <f>C20</f>
        <v>  720.00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6,200.94 </v>
      </c>
      <c r="F21" s="47" t="s">
        <v>35</v>
      </c>
      <c r="H21" s="48" t="s">
        <v>26</v>
      </c>
      <c r="I21" s="49" t="str">
        <f>SUM(H18:I20)</f>
        <v>  6,200.94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>
      <c r="F32" t="s">
        <v>14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3.71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1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98</v>
      </c>
      <c r="C6" s="11" t="s">
        <v>7</v>
      </c>
      <c r="D6" s="14" t="s">
        <v>99</v>
      </c>
      <c r="F6" s="9" t="s">
        <v>5</v>
      </c>
      <c r="G6" s="70" t="str">
        <f>B6</f>
        <v>Dec. 11, 2021</v>
      </c>
      <c r="H6" s="11" t="s">
        <v>7</v>
      </c>
      <c r="I6" s="14" t="str">
        <f>D6</f>
        <v>LC-21-003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100</v>
      </c>
      <c r="C9" s="23"/>
      <c r="D9" s="24"/>
      <c r="F9" s="21" t="s">
        <v>12</v>
      </c>
      <c r="G9" s="22" t="str">
        <f t="shared" ref="G9:G14" si="1">B9</f>
        <v>Nanette B. Verde</v>
      </c>
      <c r="H9" s="23"/>
      <c r="I9" s="24"/>
    </row>
    <row r="10">
      <c r="A10" s="26" t="s">
        <v>15</v>
      </c>
      <c r="B10" s="22" t="s">
        <v>101</v>
      </c>
      <c r="C10" s="23"/>
      <c r="D10" s="24"/>
      <c r="F10" s="26" t="s">
        <v>15</v>
      </c>
      <c r="G10" s="22" t="str">
        <f t="shared" si="1"/>
        <v>Don Pedro Yulo Ave, Brgy. San Pedro</v>
      </c>
      <c r="H10" s="23"/>
      <c r="I10" s="24"/>
    </row>
    <row r="11">
      <c r="A11" s="26" t="s">
        <v>17</v>
      </c>
      <c r="B11" s="22" t="s">
        <v>102</v>
      </c>
      <c r="C11" s="23"/>
      <c r="D11" s="24"/>
      <c r="F11" s="26" t="s">
        <v>17</v>
      </c>
      <c r="G11" s="22" t="str">
        <f t="shared" si="1"/>
        <v>Proposed Commercial Buiding</v>
      </c>
      <c r="H11" s="23"/>
      <c r="I11" s="24"/>
    </row>
    <row r="12">
      <c r="A12" s="26" t="s">
        <v>19</v>
      </c>
      <c r="B12" s="22" t="s">
        <v>103</v>
      </c>
      <c r="C12" s="23"/>
      <c r="D12" s="24"/>
      <c r="F12" s="26" t="s">
        <v>19</v>
      </c>
      <c r="G12" s="22" t="str">
        <f t="shared" si="1"/>
        <v>Brgy. San Pedro, B.N.O.</v>
      </c>
      <c r="H12" s="23"/>
      <c r="I12" s="24"/>
    </row>
    <row r="13">
      <c r="A13" s="26" t="s">
        <v>21</v>
      </c>
      <c r="B13" s="69">
        <v>23.53</v>
      </c>
      <c r="C13" s="23"/>
      <c r="D13" s="30" t="s">
        <v>22</v>
      </c>
      <c r="F13" s="26" t="s">
        <v>21</v>
      </c>
      <c r="G13" s="69" t="str">
        <f t="shared" si="1"/>
        <v>23.53</v>
      </c>
      <c r="H13" s="23"/>
      <c r="I13" s="30" t="s">
        <v>22</v>
      </c>
    </row>
    <row r="14">
      <c r="A14" s="31" t="s">
        <v>23</v>
      </c>
      <c r="B14" s="32" t="s">
        <v>97</v>
      </c>
      <c r="C14" s="23"/>
      <c r="D14" s="24"/>
      <c r="F14" s="31" t="s">
        <v>23</v>
      </c>
      <c r="G14" s="32" t="str">
        <f t="shared" si="1"/>
        <v>DORMITORIES</v>
      </c>
      <c r="H14" s="23"/>
      <c r="I14" s="24"/>
    </row>
    <row r="15">
      <c r="A15" s="33" t="s">
        <v>25</v>
      </c>
      <c r="B15" s="34" t="s">
        <v>26</v>
      </c>
      <c r="C15" s="35">
        <v>335339.68</v>
      </c>
      <c r="D15" s="24"/>
      <c r="F15" s="33" t="s">
        <v>25</v>
      </c>
      <c r="G15" s="34" t="s">
        <v>26</v>
      </c>
      <c r="H15" s="35" t="str">
        <f>C15</f>
        <v>  335,339.68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2160.0</v>
      </c>
      <c r="D18" s="20"/>
      <c r="F18" s="41" t="s">
        <v>30</v>
      </c>
      <c r="H18" s="42" t="str">
        <f>C18</f>
        <v>  2,160.00 </v>
      </c>
      <c r="I18" s="20"/>
    </row>
    <row r="19">
      <c r="A19" s="41" t="s">
        <v>32</v>
      </c>
      <c r="C19" s="69"/>
      <c r="D19" s="24"/>
      <c r="F19" s="41" t="s">
        <v>32</v>
      </c>
      <c r="H19" s="69"/>
      <c r="I19" s="24"/>
    </row>
    <row r="20">
      <c r="A20" s="41" t="s">
        <v>34</v>
      </c>
      <c r="C20" s="46">
        <v>300.0</v>
      </c>
      <c r="D20" s="17"/>
      <c r="F20" s="41" t="s">
        <v>34</v>
      </c>
      <c r="H20" s="46" t="str">
        <f>C20</f>
        <v>  300.00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2,460.00 </v>
      </c>
      <c r="F21" s="47" t="s">
        <v>35</v>
      </c>
      <c r="H21" s="48" t="s">
        <v>26</v>
      </c>
      <c r="I21" s="49" t="str">
        <f>SUM(H18:I20)</f>
        <v>  2,460.00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104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0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0" width="8.71"/>
    <col customWidth="1" min="11" max="11" width="14.86"/>
    <col customWidth="1" min="12" max="12" width="19.0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13" t="s">
        <v>105</v>
      </c>
      <c r="C6" s="11" t="s">
        <v>7</v>
      </c>
      <c r="D6" s="14" t="s">
        <v>106</v>
      </c>
      <c r="F6" s="9" t="s">
        <v>5</v>
      </c>
      <c r="G6" s="13" t="str">
        <f>B6</f>
        <v>August 18, 2022</v>
      </c>
      <c r="H6" s="11" t="s">
        <v>7</v>
      </c>
      <c r="I6" s="14" t="str">
        <f>D6</f>
        <v>LC-45-2022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107</v>
      </c>
      <c r="C9" s="23"/>
      <c r="D9" s="24"/>
      <c r="F9" s="21" t="s">
        <v>12</v>
      </c>
      <c r="G9" s="22" t="str">
        <f t="shared" ref="G9:G14" si="1">B9</f>
        <v>Rovelyn C. Dalumpines</v>
      </c>
      <c r="H9" s="23"/>
      <c r="I9" s="24"/>
    </row>
    <row r="10">
      <c r="A10" s="26" t="s">
        <v>15</v>
      </c>
      <c r="B10" s="22" t="s">
        <v>108</v>
      </c>
      <c r="C10" s="23"/>
      <c r="D10" s="24"/>
      <c r="F10" s="26" t="s">
        <v>15</v>
      </c>
      <c r="G10" s="22" t="str">
        <f t="shared" si="1"/>
        <v>Brgy. Sto. Rosario, BNO</v>
      </c>
      <c r="H10" s="23"/>
      <c r="I10" s="24"/>
    </row>
    <row r="11">
      <c r="A11" s="26" t="s">
        <v>17</v>
      </c>
      <c r="B11" s="27" t="s">
        <v>109</v>
      </c>
      <c r="C11" s="23"/>
      <c r="D11" s="24"/>
      <c r="F11" s="26" t="s">
        <v>17</v>
      </c>
      <c r="G11" s="27" t="str">
        <f t="shared" si="1"/>
        <v>Construction of 2-Storey Commercial Building</v>
      </c>
      <c r="H11" s="23"/>
      <c r="I11" s="24"/>
    </row>
    <row r="12">
      <c r="A12" s="26" t="s">
        <v>19</v>
      </c>
      <c r="B12" s="27" t="s">
        <v>110</v>
      </c>
      <c r="C12" s="23"/>
      <c r="D12" s="24"/>
      <c r="F12" s="26" t="s">
        <v>19</v>
      </c>
      <c r="G12" s="27" t="str">
        <f t="shared" si="1"/>
        <v>Portion of Lot 47-A,( PSD- Brgy. San Jose</v>
      </c>
      <c r="H12" s="23"/>
      <c r="I12" s="24"/>
    </row>
    <row r="13">
      <c r="A13" s="26" t="s">
        <v>21</v>
      </c>
      <c r="B13" s="69">
        <v>300.0</v>
      </c>
      <c r="C13" s="23"/>
      <c r="D13" s="30" t="s">
        <v>22</v>
      </c>
      <c r="F13" s="26" t="s">
        <v>21</v>
      </c>
      <c r="G13" s="69" t="str">
        <f t="shared" si="1"/>
        <v>300</v>
      </c>
      <c r="H13" s="23"/>
      <c r="I13" s="30" t="s">
        <v>22</v>
      </c>
      <c r="L13" s="39">
        <v>2000000.0</v>
      </c>
    </row>
    <row r="14">
      <c r="A14" s="31" t="s">
        <v>23</v>
      </c>
      <c r="B14" s="32" t="s">
        <v>111</v>
      </c>
      <c r="C14" s="23"/>
      <c r="D14" s="24"/>
      <c r="F14" s="31" t="s">
        <v>23</v>
      </c>
      <c r="G14" s="32" t="str">
        <f t="shared" si="1"/>
        <v>SPECIAL USE</v>
      </c>
      <c r="H14" s="23"/>
      <c r="I14" s="24"/>
      <c r="L14" s="63"/>
    </row>
    <row r="15">
      <c r="A15" s="33" t="s">
        <v>25</v>
      </c>
      <c r="B15" s="34" t="s">
        <v>26</v>
      </c>
      <c r="C15" s="35">
        <v>1300000.0</v>
      </c>
      <c r="D15" s="24"/>
      <c r="F15" s="33" t="s">
        <v>25</v>
      </c>
      <c r="G15" s="34" t="s">
        <v>26</v>
      </c>
      <c r="H15" s="35" t="str">
        <f>C15</f>
        <v>  1,300,000.00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  <c r="K17" s="39" t="str">
        <f>H15-L13</f>
        <v>  (700,000.00)</v>
      </c>
      <c r="L17" s="40" t="s">
        <v>80</v>
      </c>
    </row>
    <row r="18">
      <c r="A18" s="41" t="s">
        <v>30</v>
      </c>
      <c r="C18" s="42" t="str">
        <f>K19+7200</f>
        <v>  6,500.00 </v>
      </c>
      <c r="D18" s="20"/>
      <c r="F18" s="41" t="s">
        <v>30</v>
      </c>
      <c r="H18" s="42" t="str">
        <f>C18</f>
        <v>  6,500.00 </v>
      </c>
      <c r="I18" s="20"/>
      <c r="K18" s="43" t="str">
        <f>K17*0.01</f>
        <v>  (7,000.000)</v>
      </c>
      <c r="L18" s="40" t="s">
        <v>31</v>
      </c>
    </row>
    <row r="19">
      <c r="A19" s="41" t="s">
        <v>32</v>
      </c>
      <c r="C19" s="69"/>
      <c r="D19" s="24"/>
      <c r="F19" s="41" t="s">
        <v>32</v>
      </c>
      <c r="H19" s="69"/>
      <c r="I19" s="24"/>
      <c r="K19" s="43" t="str">
        <f>K18*0.1</f>
        <v>  (700.000)</v>
      </c>
      <c r="L19" s="45" t="s">
        <v>33</v>
      </c>
    </row>
    <row r="20">
      <c r="A20" s="41" t="s">
        <v>34</v>
      </c>
      <c r="C20" s="46">
        <v>500.0</v>
      </c>
      <c r="D20" s="17"/>
      <c r="F20" s="41" t="s">
        <v>34</v>
      </c>
      <c r="H20" s="46" t="str">
        <f>C20</f>
        <v>  500.00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7,000.00 </v>
      </c>
      <c r="F21" s="47" t="s">
        <v>35</v>
      </c>
      <c r="H21" s="48" t="s">
        <v>26</v>
      </c>
      <c r="I21" s="49" t="str">
        <f>SUM(H18:I20)</f>
        <v>  7,000.00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57"/>
    <col customWidth="1" min="3" max="3" width="8.71"/>
    <col customWidth="1" min="4" max="4" width="14.29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0" width="8.71"/>
    <col customWidth="1" min="11" max="11" width="15.29"/>
    <col customWidth="1" min="12" max="12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2" t="s">
        <v>112</v>
      </c>
      <c r="C6" s="11" t="s">
        <v>7</v>
      </c>
      <c r="D6" s="14" t="str">
        <f>'[1]2022'!$A$69</f>
        <v>#REF!</v>
      </c>
      <c r="F6" s="9" t="s">
        <v>5</v>
      </c>
      <c r="G6" s="70" t="str">
        <f>B6</f>
        <v>November 14, 2022</v>
      </c>
      <c r="H6" s="11" t="s">
        <v>7</v>
      </c>
      <c r="I6" s="14" t="str">
        <f>D6</f>
        <v>#REF!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113</v>
      </c>
      <c r="C9" s="23"/>
      <c r="D9" s="24"/>
      <c r="F9" s="21" t="s">
        <v>12</v>
      </c>
      <c r="G9" s="22" t="str">
        <f t="shared" ref="G9:G14" si="1">B9</f>
        <v>BRICOLAGE PHILIPPINES INC.</v>
      </c>
      <c r="H9" s="23"/>
      <c r="I9" s="24"/>
    </row>
    <row r="10">
      <c r="A10" s="26" t="s">
        <v>15</v>
      </c>
      <c r="B10" s="22" t="str">
        <f>'[1]2022'!$D$69</f>
        <v>#REF!</v>
      </c>
      <c r="C10" s="23"/>
      <c r="D10" s="24"/>
      <c r="F10" s="26" t="s">
        <v>15</v>
      </c>
      <c r="G10" s="22" t="str">
        <f t="shared" si="1"/>
        <v>#REF!</v>
      </c>
      <c r="H10" s="23"/>
      <c r="I10" s="24"/>
    </row>
    <row r="11">
      <c r="A11" s="26" t="s">
        <v>17</v>
      </c>
      <c r="B11" s="22" t="str">
        <f>'[1]2022'!$E$69</f>
        <v>#REF!</v>
      </c>
      <c r="C11" s="23"/>
      <c r="D11" s="24"/>
      <c r="F11" s="26" t="s">
        <v>17</v>
      </c>
      <c r="G11" s="22" t="str">
        <f t="shared" si="1"/>
        <v>#REF!</v>
      </c>
      <c r="H11" s="23"/>
      <c r="I11" s="24"/>
    </row>
    <row r="12">
      <c r="A12" s="26" t="s">
        <v>19</v>
      </c>
      <c r="B12" s="22" t="str">
        <f> '[1]2022'!$G$69</f>
        <v>#REF!</v>
      </c>
      <c r="C12" s="23"/>
      <c r="D12" s="24"/>
      <c r="F12" s="26" t="s">
        <v>19</v>
      </c>
      <c r="G12" s="22" t="str">
        <f t="shared" si="1"/>
        <v>#REF!</v>
      </c>
      <c r="H12" s="23"/>
      <c r="I12" s="24"/>
    </row>
    <row r="13">
      <c r="A13" s="26" t="s">
        <v>21</v>
      </c>
      <c r="B13" s="69">
        <v>480.0</v>
      </c>
      <c r="C13" s="23"/>
      <c r="D13" s="30" t="s">
        <v>22</v>
      </c>
      <c r="F13" s="26" t="s">
        <v>21</v>
      </c>
      <c r="G13" s="69" t="str">
        <f t="shared" si="1"/>
        <v>480</v>
      </c>
      <c r="H13" s="23"/>
      <c r="I13" s="30" t="s">
        <v>22</v>
      </c>
    </row>
    <row r="14">
      <c r="A14" s="31" t="s">
        <v>23</v>
      </c>
      <c r="B14" s="32" t="s">
        <v>114</v>
      </c>
      <c r="C14" s="23"/>
      <c r="D14" s="24"/>
      <c r="F14" s="31" t="s">
        <v>23</v>
      </c>
      <c r="G14" s="32" t="str">
        <f t="shared" si="1"/>
        <v>COMMERCIAL</v>
      </c>
      <c r="H14" s="23"/>
      <c r="I14" s="24"/>
    </row>
    <row r="15">
      <c r="A15" s="33" t="s">
        <v>25</v>
      </c>
      <c r="B15" s="34" t="s">
        <v>26</v>
      </c>
      <c r="C15" s="35">
        <v>1546500.0</v>
      </c>
      <c r="D15" s="24"/>
      <c r="F15" s="33" t="s">
        <v>25</v>
      </c>
      <c r="G15" s="34" t="s">
        <v>26</v>
      </c>
      <c r="H15" s="35" t="str">
        <f>C15</f>
        <v>  1,546,500.00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  <c r="K17" s="39"/>
      <c r="L17" s="40"/>
    </row>
    <row r="18">
      <c r="A18" s="41" t="s">
        <v>30</v>
      </c>
      <c r="C18" s="42">
        <v>4320.0</v>
      </c>
      <c r="D18" s="20"/>
      <c r="F18" s="41" t="s">
        <v>30</v>
      </c>
      <c r="H18" s="42" t="str">
        <f>C18</f>
        <v>  4,320.00 </v>
      </c>
      <c r="I18" s="20"/>
      <c r="K18" s="43"/>
      <c r="L18" s="40"/>
    </row>
    <row r="19">
      <c r="A19" s="41" t="s">
        <v>32</v>
      </c>
      <c r="C19" s="69"/>
      <c r="D19" s="24"/>
      <c r="F19" s="41" t="s">
        <v>32</v>
      </c>
      <c r="H19" s="69"/>
      <c r="I19" s="24"/>
      <c r="K19" s="43"/>
      <c r="L19" s="45"/>
    </row>
    <row r="20">
      <c r="A20" s="41" t="s">
        <v>34</v>
      </c>
      <c r="C20" s="46">
        <v>720.0</v>
      </c>
      <c r="D20" s="17"/>
      <c r="F20" s="41" t="s">
        <v>34</v>
      </c>
      <c r="H20" s="46" t="str">
        <f>C20</f>
        <v>  720.00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5,040.00 </v>
      </c>
      <c r="F21" s="47" t="s">
        <v>35</v>
      </c>
      <c r="H21" s="48" t="s">
        <v>26</v>
      </c>
      <c r="I21" s="49" t="str">
        <f>SUM(H18:I20)</f>
        <v>  5,040.00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0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1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115</v>
      </c>
      <c r="C6" s="11" t="s">
        <v>7</v>
      </c>
      <c r="D6" s="14" t="s">
        <v>116</v>
      </c>
      <c r="F6" s="9" t="s">
        <v>5</v>
      </c>
      <c r="G6" s="70" t="str">
        <f>B6</f>
        <v>October 10/2022</v>
      </c>
      <c r="H6" s="11" t="s">
        <v>7</v>
      </c>
      <c r="I6" s="14" t="str">
        <f>D6</f>
        <v>LC-51-C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117</v>
      </c>
      <c r="C9" s="23"/>
      <c r="D9" s="24"/>
      <c r="F9" s="21" t="s">
        <v>12</v>
      </c>
      <c r="G9" s="22" t="str">
        <f t="shared" ref="G9:G13" si="1">B9</f>
        <v>MAY ANN V. PLANTALON</v>
      </c>
      <c r="H9" s="23"/>
      <c r="I9" s="24"/>
    </row>
    <row r="10">
      <c r="A10" s="26" t="s">
        <v>15</v>
      </c>
      <c r="B10" s="22" t="s">
        <v>118</v>
      </c>
      <c r="C10" s="23"/>
      <c r="D10" s="24"/>
      <c r="F10" s="26" t="s">
        <v>15</v>
      </c>
      <c r="G10" s="22" t="str">
        <f t="shared" si="1"/>
        <v>Brgy. San Jose, Binalbagan Neg. Occ.</v>
      </c>
      <c r="H10" s="23"/>
      <c r="I10" s="24"/>
    </row>
    <row r="11">
      <c r="A11" s="26" t="s">
        <v>17</v>
      </c>
      <c r="B11" s="71" t="s">
        <v>119</v>
      </c>
      <c r="C11" s="23"/>
      <c r="D11" s="24"/>
      <c r="F11" s="26" t="s">
        <v>17</v>
      </c>
      <c r="G11" s="27" t="str">
        <f t="shared" si="1"/>
        <v>Water Refilling Station</v>
      </c>
      <c r="H11" s="23"/>
      <c r="I11" s="24"/>
    </row>
    <row r="12">
      <c r="A12" s="26" t="s">
        <v>19</v>
      </c>
      <c r="B12" s="27" t="s">
        <v>120</v>
      </c>
      <c r="C12" s="23"/>
      <c r="D12" s="24"/>
      <c r="F12" s="26" t="s">
        <v>19</v>
      </c>
      <c r="G12" s="28" t="str">
        <f t="shared" si="1"/>
        <v>Lot 225-A  Brgy.  Bagroy, BNO</v>
      </c>
      <c r="H12" s="23"/>
      <c r="I12" s="24"/>
    </row>
    <row r="13">
      <c r="A13" s="26" t="s">
        <v>21</v>
      </c>
      <c r="B13" s="73">
        <v>5501.0</v>
      </c>
      <c r="C13" s="23"/>
      <c r="D13" s="30" t="s">
        <v>22</v>
      </c>
      <c r="F13" s="26" t="s">
        <v>21</v>
      </c>
      <c r="G13" s="73" t="str">
        <f t="shared" si="1"/>
        <v>5501.00</v>
      </c>
      <c r="H13" s="23"/>
      <c r="I13" s="30" t="s">
        <v>22</v>
      </c>
    </row>
    <row r="14">
      <c r="A14" s="31" t="s">
        <v>23</v>
      </c>
      <c r="B14" s="32" t="s">
        <v>121</v>
      </c>
      <c r="C14" s="23"/>
      <c r="D14" s="24"/>
      <c r="F14" s="31" t="s">
        <v>23</v>
      </c>
      <c r="G14" s="32" t="s">
        <v>121</v>
      </c>
      <c r="H14" s="23"/>
      <c r="I14" s="24"/>
    </row>
    <row r="15">
      <c r="A15" s="33" t="s">
        <v>25</v>
      </c>
      <c r="B15" s="34" t="s">
        <v>26</v>
      </c>
      <c r="C15" s="35">
        <v>694450.0</v>
      </c>
      <c r="D15" s="24"/>
      <c r="F15" s="33" t="s">
        <v>25</v>
      </c>
      <c r="G15" s="34" t="s">
        <v>26</v>
      </c>
      <c r="H15" s="35" t="str">
        <f>C15</f>
        <v>  694,450.00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2880.0</v>
      </c>
      <c r="D18" s="20"/>
      <c r="F18" s="41" t="s">
        <v>30</v>
      </c>
      <c r="H18" s="42" t="str">
        <f t="shared" ref="H18:H20" si="2">C18</f>
        <v>  2,880.00 </v>
      </c>
      <c r="I18" s="20"/>
    </row>
    <row r="19">
      <c r="A19" s="41" t="s">
        <v>32</v>
      </c>
      <c r="C19" s="74"/>
      <c r="D19" s="24"/>
      <c r="F19" s="41" t="s">
        <v>32</v>
      </c>
      <c r="H19" s="75" t="str">
        <f t="shared" si="2"/>
        <v/>
      </c>
      <c r="I19" s="24"/>
    </row>
    <row r="20">
      <c r="A20" s="41" t="s">
        <v>34</v>
      </c>
      <c r="C20" s="76" t="str">
        <f>720*1</f>
        <v>  720.00 </v>
      </c>
      <c r="D20" s="17"/>
      <c r="F20" s="41" t="s">
        <v>34</v>
      </c>
      <c r="H20" s="46" t="str">
        <f t="shared" si="2"/>
        <v>  720.00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3,600.00 </v>
      </c>
      <c r="F21" s="47" t="s">
        <v>35</v>
      </c>
      <c r="H21" s="48" t="s">
        <v>26</v>
      </c>
      <c r="I21" s="49" t="str">
        <f>D21</f>
        <v>  3,600.00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tr">
        <f>C26</f>
        <v>Zoning Administrator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2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29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1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2" t="s">
        <v>122</v>
      </c>
      <c r="C6" s="11" t="s">
        <v>7</v>
      </c>
      <c r="D6" s="14" t="s">
        <v>116</v>
      </c>
      <c r="F6" s="9" t="s">
        <v>5</v>
      </c>
      <c r="G6" s="13" t="str">
        <f>B6</f>
        <v>October 10,2022</v>
      </c>
      <c r="H6" s="11" t="s">
        <v>7</v>
      </c>
      <c r="I6" s="14" t="str">
        <f>D6</f>
        <v>LC-51-C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117</v>
      </c>
      <c r="C9" s="23"/>
      <c r="D9" s="24"/>
      <c r="F9" s="21" t="s">
        <v>12</v>
      </c>
      <c r="G9" s="22" t="str">
        <f t="shared" ref="G9:G14" si="1">B9</f>
        <v>MAY ANN V. PLANTALON</v>
      </c>
      <c r="H9" s="23"/>
      <c r="I9" s="24"/>
    </row>
    <row r="10">
      <c r="A10" s="26" t="s">
        <v>15</v>
      </c>
      <c r="B10" s="22" t="s">
        <v>123</v>
      </c>
      <c r="C10" s="23"/>
      <c r="D10" s="24"/>
      <c r="F10" s="26" t="s">
        <v>15</v>
      </c>
      <c r="G10" s="22" t="str">
        <f t="shared" si="1"/>
        <v>Brgy. San Jose, Binalbagan Negros Occ.</v>
      </c>
      <c r="H10" s="23"/>
      <c r="I10" s="24"/>
    </row>
    <row r="11">
      <c r="A11" s="26" t="s">
        <v>17</v>
      </c>
      <c r="B11" s="22" t="s">
        <v>119</v>
      </c>
      <c r="C11" s="23"/>
      <c r="D11" s="24"/>
      <c r="F11" s="26" t="s">
        <v>17</v>
      </c>
      <c r="G11" s="22" t="str">
        <f t="shared" si="1"/>
        <v>Water Refilling Station</v>
      </c>
      <c r="H11" s="23"/>
      <c r="I11" s="24"/>
    </row>
    <row r="12">
      <c r="A12" s="26" t="s">
        <v>19</v>
      </c>
      <c r="B12" s="22" t="s">
        <v>120</v>
      </c>
      <c r="C12" s="23"/>
      <c r="D12" s="24"/>
      <c r="F12" s="26" t="s">
        <v>19</v>
      </c>
      <c r="G12" s="22" t="str">
        <f t="shared" si="1"/>
        <v>Lot 225-A  Brgy.  Bagroy, BNO</v>
      </c>
      <c r="H12" s="23"/>
      <c r="I12" s="24"/>
    </row>
    <row r="13">
      <c r="A13" s="26" t="s">
        <v>21</v>
      </c>
      <c r="B13" s="29">
        <v>5501.0</v>
      </c>
      <c r="C13" s="23"/>
      <c r="D13" s="77" t="s">
        <v>22</v>
      </c>
      <c r="F13" s="26" t="s">
        <v>21</v>
      </c>
      <c r="G13" s="29" t="str">
        <f t="shared" si="1"/>
        <v>  5,501.00 </v>
      </c>
      <c r="H13" s="23"/>
      <c r="I13" s="77" t="s">
        <v>22</v>
      </c>
    </row>
    <row r="14">
      <c r="A14" s="31" t="s">
        <v>23</v>
      </c>
      <c r="B14" s="32" t="s">
        <v>121</v>
      </c>
      <c r="C14" s="23"/>
      <c r="D14" s="24"/>
      <c r="F14" s="31" t="s">
        <v>23</v>
      </c>
      <c r="G14" s="32" t="str">
        <f t="shared" si="1"/>
        <v>COMM'L/INDUS./AGRO-INDUS.</v>
      </c>
      <c r="H14" s="23"/>
      <c r="I14" s="24"/>
    </row>
    <row r="15">
      <c r="A15" s="33" t="s">
        <v>25</v>
      </c>
      <c r="B15" s="34" t="s">
        <v>26</v>
      </c>
      <c r="C15" s="35">
        <v>135000.0</v>
      </c>
      <c r="D15" s="24"/>
      <c r="F15" s="33" t="s">
        <v>25</v>
      </c>
      <c r="G15" s="34" t="s">
        <v>26</v>
      </c>
      <c r="H15" s="35">
        <v>135000.0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2160.0</v>
      </c>
      <c r="D18" s="20"/>
      <c r="F18" s="41" t="s">
        <v>30</v>
      </c>
      <c r="H18" s="42" t="str">
        <f t="shared" ref="H18:H20" si="2">C18</f>
        <v>  2,160.00 </v>
      </c>
      <c r="I18" s="20"/>
    </row>
    <row r="19">
      <c r="A19" s="41" t="s">
        <v>32</v>
      </c>
      <c r="C19" s="29"/>
      <c r="D19" s="24"/>
      <c r="F19" s="41" t="s">
        <v>32</v>
      </c>
      <c r="H19" s="29" t="str">
        <f t="shared" si="2"/>
        <v/>
      </c>
      <c r="I19" s="24"/>
    </row>
    <row r="20">
      <c r="A20" s="41" t="s">
        <v>34</v>
      </c>
      <c r="C20" s="46">
        <v>500.0</v>
      </c>
      <c r="D20" s="17"/>
      <c r="F20" s="41" t="s">
        <v>34</v>
      </c>
      <c r="H20" s="46" t="str">
        <f t="shared" si="2"/>
        <v>  500.00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2,660.00 </v>
      </c>
      <c r="F21" s="47" t="s">
        <v>35</v>
      </c>
      <c r="H21" s="48" t="s">
        <v>26</v>
      </c>
      <c r="I21" s="49" t="str">
        <f>D21</f>
        <v>  2,660.00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124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3.71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1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125</v>
      </c>
      <c r="C6" s="11" t="s">
        <v>7</v>
      </c>
      <c r="D6" s="14" t="s">
        <v>76</v>
      </c>
      <c r="F6" s="9" t="s">
        <v>5</v>
      </c>
      <c r="G6" s="70" t="str">
        <f>B6</f>
        <v>Sept. 22, 2022</v>
      </c>
      <c r="H6" s="11" t="s">
        <v>7</v>
      </c>
      <c r="I6" s="14" t="str">
        <f>D6</f>
        <v>LC-19-00001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126</v>
      </c>
      <c r="C9" s="23"/>
      <c r="D9" s="24"/>
      <c r="F9" s="21" t="s">
        <v>12</v>
      </c>
      <c r="G9" s="22" t="str">
        <f t="shared" ref="G9:G13" si="1">B9</f>
        <v>Jovita T. Dela Cruz</v>
      </c>
      <c r="H9" s="23"/>
      <c r="I9" s="24"/>
    </row>
    <row r="10">
      <c r="A10" s="26" t="s">
        <v>15</v>
      </c>
      <c r="B10" s="22" t="s">
        <v>127</v>
      </c>
      <c r="C10" s="23"/>
      <c r="D10" s="24"/>
      <c r="F10" s="26" t="s">
        <v>15</v>
      </c>
      <c r="G10" s="22" t="str">
        <f t="shared" si="1"/>
        <v>Brgy. Enclaro</v>
      </c>
      <c r="H10" s="23"/>
      <c r="I10" s="24"/>
    </row>
    <row r="11">
      <c r="A11" s="26" t="s">
        <v>17</v>
      </c>
      <c r="B11" s="71" t="s">
        <v>128</v>
      </c>
      <c r="C11" s="23"/>
      <c r="D11" s="24"/>
      <c r="F11" s="26" t="s">
        <v>17</v>
      </c>
      <c r="G11" s="71" t="str">
        <f t="shared" si="1"/>
        <v>One Storey Commercial Water Refilling Station</v>
      </c>
      <c r="H11" s="23"/>
      <c r="I11" s="24"/>
    </row>
    <row r="12">
      <c r="A12" s="26" t="s">
        <v>19</v>
      </c>
      <c r="B12" s="28" t="s">
        <v>129</v>
      </c>
      <c r="C12" s="23"/>
      <c r="D12" s="24"/>
      <c r="F12" s="26" t="s">
        <v>19</v>
      </c>
      <c r="G12" s="28" t="str">
        <f t="shared" si="1"/>
        <v>Lot 99-B-1-A, Title TCT-091-2017008137 Brgy. Enclaro</v>
      </c>
      <c r="H12" s="23"/>
      <c r="I12" s="24"/>
    </row>
    <row r="13">
      <c r="A13" s="26" t="s">
        <v>21</v>
      </c>
      <c r="B13" s="69"/>
      <c r="C13" s="23"/>
      <c r="D13" s="30" t="s">
        <v>22</v>
      </c>
      <c r="F13" s="26" t="s">
        <v>21</v>
      </c>
      <c r="G13" s="69" t="str">
        <f t="shared" si="1"/>
        <v/>
      </c>
      <c r="H13" s="23"/>
      <c r="I13" s="30" t="s">
        <v>22</v>
      </c>
    </row>
    <row r="14">
      <c r="A14" s="31" t="s">
        <v>23</v>
      </c>
      <c r="B14" s="32" t="s">
        <v>121</v>
      </c>
      <c r="C14" s="23"/>
      <c r="D14" s="24"/>
      <c r="F14" s="31" t="s">
        <v>23</v>
      </c>
      <c r="G14" s="32" t="s">
        <v>121</v>
      </c>
      <c r="H14" s="23"/>
      <c r="I14" s="24"/>
    </row>
    <row r="15">
      <c r="A15" s="33" t="s">
        <v>25</v>
      </c>
      <c r="B15" s="34" t="s">
        <v>26</v>
      </c>
      <c r="C15" s="35">
        <v>135000.0</v>
      </c>
      <c r="D15" s="24"/>
      <c r="F15" s="33" t="s">
        <v>25</v>
      </c>
      <c r="G15" s="34" t="s">
        <v>26</v>
      </c>
      <c r="H15" s="35" t="str">
        <f>C15</f>
        <v>  135,000.00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1440.0</v>
      </c>
      <c r="D18" s="20"/>
      <c r="F18" s="41" t="s">
        <v>30</v>
      </c>
      <c r="H18" s="42" t="str">
        <f>C18</f>
        <v>  1,440.00 </v>
      </c>
      <c r="I18" s="20"/>
    </row>
    <row r="19">
      <c r="A19" s="41" t="s">
        <v>32</v>
      </c>
      <c r="C19" s="69"/>
      <c r="D19" s="24"/>
      <c r="F19" s="41" t="s">
        <v>32</v>
      </c>
      <c r="H19" s="69"/>
      <c r="I19" s="24"/>
    </row>
    <row r="20">
      <c r="A20" s="41" t="s">
        <v>34</v>
      </c>
      <c r="C20" s="46">
        <v>500.0</v>
      </c>
      <c r="D20" s="17"/>
      <c r="F20" s="41" t="s">
        <v>34</v>
      </c>
      <c r="H20" s="46" t="str">
        <f>C20</f>
        <v>  500.00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1,940.00 </v>
      </c>
      <c r="F21" s="47" t="s">
        <v>35</v>
      </c>
      <c r="H21" s="48" t="s">
        <v>26</v>
      </c>
      <c r="I21" s="49" t="str">
        <f>SUM(H18:I20)</f>
        <v>  1,940.00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0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0"/>
    <col customWidth="1" min="10" max="10" width="8.71"/>
    <col customWidth="1" min="11" max="11" width="14.43"/>
    <col customWidth="1" min="12" max="12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130</v>
      </c>
      <c r="C6" s="11" t="s">
        <v>7</v>
      </c>
      <c r="D6" s="14" t="s">
        <v>131</v>
      </c>
      <c r="F6" s="9" t="s">
        <v>5</v>
      </c>
      <c r="G6" s="70" t="str">
        <f>B6</f>
        <v>Feb.7, 2021</v>
      </c>
      <c r="H6" s="11" t="s">
        <v>7</v>
      </c>
      <c r="I6" s="14" t="str">
        <f>D6</f>
        <v>LC-022-005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132</v>
      </c>
      <c r="C9" s="23"/>
      <c r="D9" s="24"/>
      <c r="F9" s="21" t="s">
        <v>12</v>
      </c>
      <c r="G9" s="22" t="str">
        <f t="shared" ref="G9:G13" si="1">B9</f>
        <v>Carlos Hilado Memorial State College</v>
      </c>
      <c r="H9" s="23"/>
      <c r="I9" s="24"/>
    </row>
    <row r="10">
      <c r="A10" s="26" t="s">
        <v>15</v>
      </c>
      <c r="B10" s="22" t="s">
        <v>133</v>
      </c>
      <c r="C10" s="23"/>
      <c r="D10" s="24"/>
      <c r="F10" s="26" t="s">
        <v>15</v>
      </c>
      <c r="G10" s="22" t="str">
        <f t="shared" si="1"/>
        <v>So. Pasil, Brgy. Enclaro, Bin., Neg. Occ.</v>
      </c>
      <c r="H10" s="23"/>
      <c r="I10" s="24"/>
    </row>
    <row r="11">
      <c r="A11" s="26" t="s">
        <v>17</v>
      </c>
      <c r="B11" s="27" t="s">
        <v>134</v>
      </c>
      <c r="C11" s="23"/>
      <c r="D11" s="24"/>
      <c r="F11" s="26" t="s">
        <v>17</v>
      </c>
      <c r="G11" s="22" t="str">
        <f t="shared" si="1"/>
        <v>Prop.Library Extension Binalbagan Campus</v>
      </c>
      <c r="H11" s="23"/>
      <c r="I11" s="24"/>
    </row>
    <row r="12">
      <c r="A12" s="26" t="s">
        <v>19</v>
      </c>
      <c r="B12" s="22" t="s">
        <v>135</v>
      </c>
      <c r="C12" s="23"/>
      <c r="D12" s="24"/>
      <c r="F12" s="26" t="s">
        <v>19</v>
      </c>
      <c r="G12" s="22" t="str">
        <f t="shared" si="1"/>
        <v>CHMSC Compound, So. Pasil, Enclaro</v>
      </c>
      <c r="H12" s="23"/>
      <c r="I12" s="24"/>
    </row>
    <row r="13">
      <c r="A13" s="26" t="s">
        <v>21</v>
      </c>
      <c r="B13" s="29">
        <v>52146.0</v>
      </c>
      <c r="C13" s="23"/>
      <c r="D13" s="30" t="s">
        <v>22</v>
      </c>
      <c r="F13" s="26" t="s">
        <v>21</v>
      </c>
      <c r="G13" s="29" t="str">
        <f t="shared" si="1"/>
        <v>  52,146.00 </v>
      </c>
      <c r="H13" s="23"/>
      <c r="I13" s="30" t="s">
        <v>22</v>
      </c>
    </row>
    <row r="14">
      <c r="A14" s="31" t="s">
        <v>23</v>
      </c>
      <c r="B14" s="32" t="s">
        <v>136</v>
      </c>
      <c r="C14" s="23"/>
      <c r="D14" s="24"/>
      <c r="F14" s="31" t="s">
        <v>23</v>
      </c>
      <c r="G14" s="32" t="s">
        <v>136</v>
      </c>
      <c r="H14" s="23"/>
      <c r="I14" s="24"/>
    </row>
    <row r="15">
      <c r="A15" s="33" t="s">
        <v>25</v>
      </c>
      <c r="B15" s="34" t="s">
        <v>26</v>
      </c>
      <c r="C15" s="35">
        <v>3000000.0</v>
      </c>
      <c r="D15" s="24"/>
      <c r="F15" s="33" t="s">
        <v>25</v>
      </c>
      <c r="G15" s="34" t="s">
        <v>26</v>
      </c>
      <c r="H15" s="35" t="str">
        <f>C15</f>
        <v>  3,000,000.00 </v>
      </c>
      <c r="I15" s="24"/>
    </row>
    <row r="16">
      <c r="A16" s="36" t="s">
        <v>137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  <c r="K17" s="39" t="str">
        <f>C15-2000000</f>
        <v>  1,000,000.00 </v>
      </c>
      <c r="L17" s="40" t="s">
        <v>80</v>
      </c>
    </row>
    <row r="18">
      <c r="A18" s="41" t="s">
        <v>30</v>
      </c>
      <c r="C18" s="42" t="str">
        <f>2880+K19</f>
        <v>  3,880.00 </v>
      </c>
      <c r="D18" s="20"/>
      <c r="F18" s="41" t="s">
        <v>30</v>
      </c>
      <c r="H18" s="42" t="str">
        <f>C18</f>
        <v>  3,880.00 </v>
      </c>
      <c r="I18" s="20"/>
      <c r="K18" s="43" t="str">
        <f>K17*0.01</f>
        <v>  10,000.000 </v>
      </c>
      <c r="L18" s="40" t="s">
        <v>31</v>
      </c>
    </row>
    <row r="19">
      <c r="A19" s="41" t="s">
        <v>32</v>
      </c>
      <c r="C19" s="69"/>
      <c r="D19" s="24"/>
      <c r="F19" s="41" t="s">
        <v>32</v>
      </c>
      <c r="H19" s="69"/>
      <c r="I19" s="24"/>
      <c r="K19" s="43" t="str">
        <f>K18*0.1</f>
        <v>  1,000.000 </v>
      </c>
      <c r="L19" s="45" t="s">
        <v>33</v>
      </c>
    </row>
    <row r="20">
      <c r="A20" s="41" t="s">
        <v>34</v>
      </c>
      <c r="C20" s="46" t="str">
        <f>(B13/10000)*720</f>
        <v>  3,754.51 </v>
      </c>
      <c r="D20" s="17"/>
      <c r="F20" s="41" t="s">
        <v>34</v>
      </c>
      <c r="H20" s="46" t="str">
        <f>C20</f>
        <v>  3,754.51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7,634.51 </v>
      </c>
      <c r="F21" s="47" t="s">
        <v>35</v>
      </c>
      <c r="H21" s="48" t="s">
        <v>26</v>
      </c>
      <c r="I21" s="49" t="str">
        <f>SUM(H18:I20)</f>
        <v>  7,634.51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4.86"/>
    <col customWidth="1" min="5" max="5" width="4.86"/>
    <col customWidth="1" min="6" max="6" width="9.71"/>
    <col customWidth="1" min="7" max="7" width="12.86"/>
    <col customWidth="1" min="8" max="8" width="9.14"/>
    <col customWidth="1" min="9" max="9" width="14.57"/>
    <col customWidth="1" min="10" max="11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75</v>
      </c>
      <c r="C6" s="11" t="s">
        <v>7</v>
      </c>
      <c r="D6" s="14" t="s">
        <v>76</v>
      </c>
      <c r="F6" s="9" t="s">
        <v>5</v>
      </c>
      <c r="G6" s="70" t="str">
        <f>B6</f>
        <v>Sept.10,2019</v>
      </c>
      <c r="H6" s="11" t="s">
        <v>7</v>
      </c>
      <c r="I6" s="14" t="str">
        <f>D6</f>
        <v>LC-19-00001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77</v>
      </c>
      <c r="C9" s="23"/>
      <c r="D9" s="24"/>
      <c r="F9" s="21" t="s">
        <v>12</v>
      </c>
      <c r="G9" s="22" t="str">
        <f t="shared" ref="G9:G13" si="1">B9</f>
        <v>NEIL JOHN BANDOLA</v>
      </c>
      <c r="H9" s="23"/>
      <c r="I9" s="24"/>
    </row>
    <row r="10">
      <c r="A10" s="26" t="s">
        <v>15</v>
      </c>
      <c r="B10" s="22" t="s">
        <v>78</v>
      </c>
      <c r="C10" s="23"/>
      <c r="D10" s="24"/>
      <c r="F10" s="26" t="s">
        <v>15</v>
      </c>
      <c r="G10" s="22" t="str">
        <f t="shared" si="1"/>
        <v>PRK. TUMPOK, BRGY LABUGAY</v>
      </c>
      <c r="H10" s="23"/>
      <c r="I10" s="24"/>
    </row>
    <row r="11">
      <c r="A11" s="26" t="s">
        <v>17</v>
      </c>
      <c r="B11" s="22"/>
      <c r="C11" s="23"/>
      <c r="D11" s="24"/>
      <c r="F11" s="26" t="s">
        <v>17</v>
      </c>
      <c r="G11" s="22" t="str">
        <f t="shared" si="1"/>
        <v/>
      </c>
      <c r="H11" s="23"/>
      <c r="I11" s="24"/>
    </row>
    <row r="12">
      <c r="A12" s="26" t="s">
        <v>19</v>
      </c>
      <c r="B12" s="22"/>
      <c r="C12" s="23"/>
      <c r="D12" s="24"/>
      <c r="F12" s="26" t="s">
        <v>19</v>
      </c>
      <c r="G12" s="22" t="str">
        <f t="shared" si="1"/>
        <v/>
      </c>
      <c r="H12" s="23"/>
      <c r="I12" s="24"/>
    </row>
    <row r="13">
      <c r="A13" s="26" t="s">
        <v>21</v>
      </c>
      <c r="B13" s="69"/>
      <c r="C13" s="23"/>
      <c r="D13" s="30" t="s">
        <v>22</v>
      </c>
      <c r="F13" s="26" t="s">
        <v>21</v>
      </c>
      <c r="G13" s="69" t="str">
        <f t="shared" si="1"/>
        <v/>
      </c>
      <c r="H13" s="23"/>
      <c r="I13" s="30" t="s">
        <v>22</v>
      </c>
    </row>
    <row r="14">
      <c r="A14" s="31" t="s">
        <v>23</v>
      </c>
      <c r="B14" s="32" t="s">
        <v>136</v>
      </c>
      <c r="C14" s="23"/>
      <c r="D14" s="24"/>
      <c r="F14" s="31" t="s">
        <v>23</v>
      </c>
      <c r="G14" s="32" t="s">
        <v>136</v>
      </c>
      <c r="H14" s="23"/>
      <c r="I14" s="24"/>
    </row>
    <row r="15">
      <c r="A15" s="33" t="s">
        <v>25</v>
      </c>
      <c r="B15" s="34" t="s">
        <v>26</v>
      </c>
      <c r="C15" s="35">
        <v>150000.0</v>
      </c>
      <c r="D15" s="24"/>
      <c r="F15" s="33" t="s">
        <v>25</v>
      </c>
      <c r="G15" s="34" t="s">
        <v>26</v>
      </c>
      <c r="H15" s="35" t="str">
        <f>C15</f>
        <v>  150,000.00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2880.0</v>
      </c>
      <c r="D18" s="20"/>
      <c r="F18" s="41" t="s">
        <v>30</v>
      </c>
      <c r="H18" s="42" t="str">
        <f t="shared" ref="H18:H20" si="2">C18</f>
        <v>  2,880.00 </v>
      </c>
      <c r="I18" s="20"/>
    </row>
    <row r="19">
      <c r="A19" s="41" t="s">
        <v>32</v>
      </c>
      <c r="C19" s="69"/>
      <c r="D19" s="24"/>
      <c r="F19" s="41" t="s">
        <v>32</v>
      </c>
      <c r="H19" s="69" t="str">
        <f t="shared" si="2"/>
        <v/>
      </c>
      <c r="I19" s="24"/>
    </row>
    <row r="20">
      <c r="A20" s="41" t="s">
        <v>34</v>
      </c>
      <c r="C20" s="46" t="str">
        <f>720*1</f>
        <v>  720.00 </v>
      </c>
      <c r="D20" s="17"/>
      <c r="F20" s="41" t="s">
        <v>34</v>
      </c>
      <c r="H20" s="46" t="str">
        <f t="shared" si="2"/>
        <v>  720.00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3,600.00 </v>
      </c>
      <c r="F21" s="47" t="s">
        <v>35</v>
      </c>
      <c r="H21" s="48" t="s">
        <v>26</v>
      </c>
      <c r="I21" s="49" t="str">
        <f>SUM(H18:I20)</f>
        <v>  3,600.00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5867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0"/>
    <col customWidth="1" min="3" max="3" width="8.71"/>
    <col customWidth="1" min="4" max="4" width="15.43"/>
    <col customWidth="1" min="5" max="5" width="4.86"/>
    <col customWidth="1" min="6" max="6" width="9.71"/>
    <col customWidth="1" min="7" max="7" width="12.86"/>
    <col customWidth="1" min="8" max="8" width="9.14"/>
    <col customWidth="1" min="9" max="9" width="15.29"/>
    <col customWidth="1" min="10" max="11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70" t="s">
        <v>138</v>
      </c>
      <c r="C6" s="11" t="s">
        <v>7</v>
      </c>
      <c r="D6" s="14" t="s">
        <v>139</v>
      </c>
      <c r="F6" s="9" t="s">
        <v>5</v>
      </c>
      <c r="G6" s="70" t="str">
        <f>B6</f>
        <v>Dec. 1,2021</v>
      </c>
      <c r="H6" s="11" t="s">
        <v>7</v>
      </c>
      <c r="I6" s="14" t="str">
        <f>D6</f>
        <v>LC-21-0062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140</v>
      </c>
      <c r="C9" s="23"/>
      <c r="D9" s="24"/>
      <c r="F9" s="21" t="s">
        <v>12</v>
      </c>
      <c r="G9" s="22" t="str">
        <f t="shared" ref="G9:G13" si="1">B9</f>
        <v>DITO TELECOMMUNICATION CORP.</v>
      </c>
      <c r="H9" s="23"/>
      <c r="I9" s="24"/>
    </row>
    <row r="10">
      <c r="A10" s="26" t="s">
        <v>15</v>
      </c>
      <c r="B10" s="27" t="s">
        <v>141</v>
      </c>
      <c r="C10" s="23"/>
      <c r="D10" s="24"/>
      <c r="F10" s="26" t="s">
        <v>15</v>
      </c>
      <c r="G10" s="22" t="str">
        <f t="shared" si="1"/>
        <v>11th flr. Udenia towe,BGC,Taguig City</v>
      </c>
      <c r="H10" s="23"/>
      <c r="I10" s="24"/>
    </row>
    <row r="11">
      <c r="A11" s="26" t="s">
        <v>17</v>
      </c>
      <c r="B11" s="22" t="s">
        <v>142</v>
      </c>
      <c r="C11" s="23"/>
      <c r="D11" s="24"/>
      <c r="F11" s="26" t="s">
        <v>17</v>
      </c>
      <c r="G11" s="22" t="str">
        <f t="shared" si="1"/>
        <v>Const. of Self Supporting Tower</v>
      </c>
      <c r="H11" s="23"/>
      <c r="I11" s="24"/>
    </row>
    <row r="12">
      <c r="A12" s="26" t="s">
        <v>19</v>
      </c>
      <c r="B12" s="22" t="s">
        <v>143</v>
      </c>
      <c r="C12" s="23"/>
      <c r="D12" s="24"/>
      <c r="F12" s="26" t="s">
        <v>19</v>
      </c>
      <c r="G12" s="22" t="str">
        <f t="shared" si="1"/>
        <v>Prk. Gumamela, Brgy. Enclaro, B.N.O.</v>
      </c>
      <c r="H12" s="23"/>
      <c r="I12" s="24"/>
    </row>
    <row r="13">
      <c r="A13" s="26" t="s">
        <v>21</v>
      </c>
      <c r="B13" s="29">
        <v>212.0</v>
      </c>
      <c r="C13" s="23"/>
      <c r="D13" s="30" t="s">
        <v>22</v>
      </c>
      <c r="F13" s="26" t="s">
        <v>21</v>
      </c>
      <c r="G13" s="78" t="str">
        <f t="shared" si="1"/>
        <v>212.00</v>
      </c>
      <c r="H13" s="23"/>
      <c r="I13" s="30" t="s">
        <v>22</v>
      </c>
    </row>
    <row r="14">
      <c r="A14" s="31" t="s">
        <v>23</v>
      </c>
      <c r="B14" s="79" t="s">
        <v>111</v>
      </c>
      <c r="C14" s="23"/>
      <c r="D14" s="24"/>
      <c r="F14" s="31" t="s">
        <v>23</v>
      </c>
      <c r="G14" s="32" t="s">
        <v>144</v>
      </c>
      <c r="H14" s="23"/>
      <c r="I14" s="24"/>
    </row>
    <row r="15">
      <c r="A15" s="33" t="s">
        <v>25</v>
      </c>
      <c r="B15" s="34" t="s">
        <v>26</v>
      </c>
      <c r="C15" s="35">
        <v>3058388.05</v>
      </c>
      <c r="D15" s="24"/>
      <c r="F15" s="33" t="s">
        <v>25</v>
      </c>
      <c r="G15" s="34" t="s">
        <v>26</v>
      </c>
      <c r="H15" s="35" t="str">
        <f>C15</f>
        <v>  3,058,388.05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 t="str">
        <f>7200+(C15*0.001)</f>
        <v>  10,258.39 </v>
      </c>
      <c r="D18" s="20"/>
      <c r="F18" s="41" t="s">
        <v>30</v>
      </c>
      <c r="H18" s="42" t="str">
        <f t="shared" ref="H18:H20" si="2">C18</f>
        <v>  10,258.39 </v>
      </c>
      <c r="I18" s="20"/>
    </row>
    <row r="19">
      <c r="A19" s="41" t="s">
        <v>32</v>
      </c>
      <c r="C19" s="29"/>
      <c r="D19" s="24"/>
      <c r="F19" s="41" t="s">
        <v>32</v>
      </c>
      <c r="H19" s="29" t="str">
        <f t="shared" si="2"/>
        <v/>
      </c>
      <c r="I19" s="24"/>
    </row>
    <row r="20">
      <c r="A20" s="41" t="s">
        <v>34</v>
      </c>
      <c r="C20" s="46">
        <v>720.0</v>
      </c>
      <c r="D20" s="17"/>
      <c r="F20" s="41" t="s">
        <v>34</v>
      </c>
      <c r="H20" s="46" t="str">
        <f t="shared" si="2"/>
        <v>  720.00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10,978.39 </v>
      </c>
      <c r="F21" s="47" t="s">
        <v>35</v>
      </c>
      <c r="H21" s="48" t="s">
        <v>26</v>
      </c>
      <c r="I21" s="49" t="str">
        <f>SUM(H18:I20)</f>
        <v>  10,978.39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">
        <v>40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5867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86"/>
    <col customWidth="1" min="3" max="3" width="8.71"/>
    <col customWidth="1" min="4" max="4" width="15.86"/>
    <col customWidth="1" min="5" max="5" width="3.71"/>
    <col customWidth="1" min="6" max="6" width="9.71"/>
    <col customWidth="1" min="7" max="7" width="12.86"/>
    <col customWidth="1" min="8" max="8" width="9.14"/>
    <col customWidth="1" min="9" max="9" width="17.86"/>
    <col customWidth="1" min="10" max="11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>
      <c r="A6" s="9" t="s">
        <v>5</v>
      </c>
      <c r="B6" s="70" t="s">
        <v>145</v>
      </c>
      <c r="C6" s="11" t="s">
        <v>7</v>
      </c>
      <c r="D6" s="14" t="s">
        <v>146</v>
      </c>
      <c r="F6" s="9" t="s">
        <v>5</v>
      </c>
      <c r="G6" s="70" t="str">
        <f>B6</f>
        <v>August 24,2022</v>
      </c>
      <c r="H6" s="11" t="s">
        <v>7</v>
      </c>
      <c r="I6" s="14" t="str">
        <f>D6</f>
        <v>LC-46-2022</v>
      </c>
    </row>
    <row r="7">
      <c r="A7" s="15" t="s">
        <v>10</v>
      </c>
      <c r="B7" s="16"/>
      <c r="C7" s="16"/>
      <c r="D7" s="17"/>
      <c r="F7" s="15" t="s">
        <v>10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147</v>
      </c>
      <c r="C9" s="23"/>
      <c r="D9" s="24"/>
      <c r="F9" s="21" t="s">
        <v>12</v>
      </c>
      <c r="G9" s="22" t="str">
        <f t="shared" ref="G9:G14" si="1">B9</f>
        <v>RAMSY C. MESICULA</v>
      </c>
      <c r="H9" s="23"/>
      <c r="I9" s="24"/>
    </row>
    <row r="10">
      <c r="A10" s="26" t="s">
        <v>15</v>
      </c>
      <c r="B10" s="27" t="s">
        <v>148</v>
      </c>
      <c r="C10" s="23"/>
      <c r="D10" s="24"/>
      <c r="F10" s="26" t="s">
        <v>15</v>
      </c>
      <c r="G10" s="27" t="str">
        <f t="shared" si="1"/>
        <v>Brgy. Calapi, Hinigaran, Negros  Occidental</v>
      </c>
      <c r="H10" s="23"/>
      <c r="I10" s="24"/>
    </row>
    <row r="11">
      <c r="A11" s="26" t="s">
        <v>17</v>
      </c>
      <c r="B11" s="27" t="s">
        <v>149</v>
      </c>
      <c r="C11" s="23"/>
      <c r="D11" s="24"/>
      <c r="F11" s="26" t="s">
        <v>17</v>
      </c>
      <c r="G11" s="27" t="str">
        <f t="shared" si="1"/>
        <v>Proposed Gas Refilling Station</v>
      </c>
      <c r="H11" s="23"/>
      <c r="I11" s="24"/>
    </row>
    <row r="12">
      <c r="A12" s="26" t="s">
        <v>19</v>
      </c>
      <c r="B12" s="22" t="s">
        <v>150</v>
      </c>
      <c r="C12" s="23"/>
      <c r="D12" s="24"/>
      <c r="F12" s="26" t="s">
        <v>19</v>
      </c>
      <c r="G12" s="22" t="str">
        <f t="shared" si="1"/>
        <v>Portion of Lot 147-A, Brgy. San Jose, B.N.O.</v>
      </c>
      <c r="H12" s="23"/>
      <c r="I12" s="24"/>
    </row>
    <row r="13">
      <c r="A13" s="26" t="s">
        <v>21</v>
      </c>
      <c r="B13" s="29">
        <v>348.0</v>
      </c>
      <c r="C13" s="23"/>
      <c r="D13" s="30" t="s">
        <v>22</v>
      </c>
      <c r="F13" s="26" t="s">
        <v>21</v>
      </c>
      <c r="G13" s="29" t="str">
        <f t="shared" si="1"/>
        <v>  348.00 </v>
      </c>
      <c r="H13" s="23"/>
      <c r="I13" s="30" t="s">
        <v>22</v>
      </c>
    </row>
    <row r="14">
      <c r="A14" s="31" t="s">
        <v>23</v>
      </c>
      <c r="B14" s="79" t="s">
        <v>111</v>
      </c>
      <c r="C14" s="23"/>
      <c r="D14" s="24"/>
      <c r="F14" s="31" t="s">
        <v>23</v>
      </c>
      <c r="G14" s="79" t="str">
        <f t="shared" si="1"/>
        <v> SPECIAL USE </v>
      </c>
      <c r="H14" s="23"/>
      <c r="I14" s="24"/>
    </row>
    <row r="15">
      <c r="A15" s="33" t="s">
        <v>25</v>
      </c>
      <c r="B15" s="34" t="s">
        <v>26</v>
      </c>
      <c r="C15" s="35">
        <v>1300000.0</v>
      </c>
      <c r="D15" s="24"/>
      <c r="F15" s="33" t="s">
        <v>25</v>
      </c>
      <c r="G15" s="34" t="s">
        <v>26</v>
      </c>
      <c r="H15" s="35" t="str">
        <f> C15</f>
        <v>  1,300,000.00 </v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>
        <v>7200.0</v>
      </c>
      <c r="D18" s="20"/>
      <c r="F18" s="41" t="s">
        <v>30</v>
      </c>
      <c r="H18" s="42" t="str">
        <f>C18</f>
        <v>  7,200.00 </v>
      </c>
      <c r="I18" s="20"/>
    </row>
    <row r="19">
      <c r="A19" s="41" t="s">
        <v>32</v>
      </c>
      <c r="C19" s="69"/>
      <c r="D19" s="24"/>
      <c r="F19" s="41" t="s">
        <v>32</v>
      </c>
      <c r="H19" s="69"/>
      <c r="I19" s="24"/>
    </row>
    <row r="20">
      <c r="A20" s="41" t="s">
        <v>34</v>
      </c>
      <c r="C20" s="46">
        <v>500.0</v>
      </c>
      <c r="D20" s="17"/>
      <c r="F20" s="41" t="s">
        <v>34</v>
      </c>
      <c r="H20" s="46" t="str">
        <f>C20</f>
        <v>  500.00 </v>
      </c>
      <c r="I20" s="17"/>
    </row>
    <row r="21" ht="15.75" customHeight="1">
      <c r="A21" s="47" t="s">
        <v>35</v>
      </c>
      <c r="C21" s="48" t="s">
        <v>26</v>
      </c>
      <c r="D21" s="49" t="str">
        <f>SUM(C18:D20)</f>
        <v>  7,700.00 </v>
      </c>
      <c r="F21" s="47" t="s">
        <v>35</v>
      </c>
      <c r="H21" s="48" t="s">
        <v>26</v>
      </c>
      <c r="I21" s="49" t="str">
        <f>SUM(H18:I20)</f>
        <v>  7,700.00 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15.7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2" t="s">
        <v>151</v>
      </c>
      <c r="D26" s="61"/>
      <c r="F26" s="58"/>
      <c r="G26" s="59"/>
      <c r="H26" s="60" t="str">
        <f>C26</f>
        <v>Zoning Administrator Designate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6:B26"/>
    <mergeCell ref="C26:D26"/>
    <mergeCell ref="A21:B21"/>
    <mergeCell ref="A23:B23"/>
    <mergeCell ref="C23:D23"/>
    <mergeCell ref="A24:B24"/>
    <mergeCell ref="C24:D24"/>
    <mergeCell ref="A25:B25"/>
    <mergeCell ref="C25:D25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A20:B20"/>
    <mergeCell ref="C20:D20"/>
    <mergeCell ref="F20:G20"/>
    <mergeCell ref="H20:I20"/>
    <mergeCell ref="B14:D14"/>
    <mergeCell ref="C15:D15"/>
    <mergeCell ref="A16:D16"/>
    <mergeCell ref="A18:B18"/>
    <mergeCell ref="C18:D18"/>
    <mergeCell ref="A19:B19"/>
    <mergeCell ref="C19:D19"/>
    <mergeCell ref="F23:G23"/>
    <mergeCell ref="H23:I23"/>
    <mergeCell ref="F24:G24"/>
    <mergeCell ref="H24:I24"/>
    <mergeCell ref="F25:G25"/>
    <mergeCell ref="H25:I25"/>
    <mergeCell ref="F26:G26"/>
    <mergeCell ref="H26:I26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4.0"/>
    <col customWidth="1" min="3" max="3" width="8.71"/>
    <col customWidth="1" min="4" max="4" width="14.86"/>
    <col customWidth="1" min="5" max="5" width="4.86"/>
    <col customWidth="1" min="6" max="6" width="9.71"/>
    <col customWidth="1" min="7" max="7" width="13.71"/>
    <col customWidth="1" min="8" max="8" width="9.14"/>
    <col customWidth="1" min="9" max="9" width="14.86"/>
    <col customWidth="1" min="10" max="11" width="8.71"/>
    <col customWidth="1" min="12" max="12" width="13.71"/>
    <col customWidth="1" min="13" max="14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80" t="s">
        <v>152</v>
      </c>
      <c r="C6" s="11" t="s">
        <v>7</v>
      </c>
      <c r="D6" s="81" t="s">
        <v>153</v>
      </c>
      <c r="F6" s="9" t="s">
        <v>5</v>
      </c>
      <c r="G6" s="80" t="str">
        <f>B6</f>
        <v>Sep. 13, 2022</v>
      </c>
      <c r="H6" s="11" t="s">
        <v>7</v>
      </c>
      <c r="I6" s="14" t="str">
        <f>D6</f>
        <v>2022-11-ZC</v>
      </c>
    </row>
    <row r="7">
      <c r="A7" s="15" t="s">
        <v>154</v>
      </c>
      <c r="B7" s="16"/>
      <c r="C7" s="16"/>
      <c r="D7" s="17"/>
      <c r="F7" s="15" t="s">
        <v>154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155</v>
      </c>
      <c r="C9" s="23"/>
      <c r="D9" s="24"/>
      <c r="F9" s="21" t="s">
        <v>12</v>
      </c>
      <c r="G9" s="22" t="str">
        <f t="shared" ref="G9:G14" si="1">B9</f>
        <v>Ma. Elena Alarcon</v>
      </c>
      <c r="H9" s="23"/>
      <c r="I9" s="24"/>
    </row>
    <row r="10">
      <c r="A10" s="26" t="s">
        <v>15</v>
      </c>
      <c r="B10" s="22" t="s">
        <v>156</v>
      </c>
      <c r="C10" s="23"/>
      <c r="D10" s="24"/>
      <c r="F10" s="26" t="s">
        <v>15</v>
      </c>
      <c r="G10" s="22" t="str">
        <f t="shared" si="1"/>
        <v>Brgy. Canmoros, Binalbagan Negros Occidental</v>
      </c>
      <c r="H10" s="23"/>
      <c r="I10" s="24"/>
    </row>
    <row r="11">
      <c r="A11" s="26" t="s">
        <v>17</v>
      </c>
      <c r="B11" s="25" t="s">
        <v>157</v>
      </c>
      <c r="C11" s="23"/>
      <c r="D11" s="24"/>
      <c r="F11" s="26" t="s">
        <v>17</v>
      </c>
      <c r="G11" s="22" t="str">
        <f t="shared" si="1"/>
        <v>Titling</v>
      </c>
      <c r="H11" s="23"/>
      <c r="I11" s="24"/>
    </row>
    <row r="12">
      <c r="A12" s="26" t="s">
        <v>19</v>
      </c>
      <c r="B12" s="27" t="s">
        <v>158</v>
      </c>
      <c r="C12" s="23"/>
      <c r="D12" s="24"/>
      <c r="F12" s="26" t="s">
        <v>19</v>
      </c>
      <c r="G12" s="27" t="str">
        <f t="shared" si="1"/>
        <v>LOT 1-91,  Brgy. Canmoros, Bin. Neg. Occ.</v>
      </c>
      <c r="H12" s="23"/>
      <c r="I12" s="24"/>
    </row>
    <row r="13">
      <c r="A13" s="26" t="s">
        <v>21</v>
      </c>
      <c r="B13" s="82">
        <v>15066.0</v>
      </c>
      <c r="C13" s="23"/>
      <c r="D13" s="30" t="s">
        <v>22</v>
      </c>
      <c r="F13" s="26" t="s">
        <v>21</v>
      </c>
      <c r="G13" s="82" t="str">
        <f t="shared" si="1"/>
        <v>15,066.00</v>
      </c>
      <c r="H13" s="23"/>
      <c r="I13" s="30" t="s">
        <v>22</v>
      </c>
    </row>
    <row r="14">
      <c r="A14" s="31" t="s">
        <v>23</v>
      </c>
      <c r="B14" s="32" t="s">
        <v>159</v>
      </c>
      <c r="C14" s="23"/>
      <c r="D14" s="24"/>
      <c r="F14" s="31" t="s">
        <v>23</v>
      </c>
      <c r="G14" s="32" t="str">
        <f t="shared" si="1"/>
        <v>Certification only</v>
      </c>
      <c r="H14" s="23"/>
      <c r="I14" s="24"/>
    </row>
    <row r="15">
      <c r="A15" s="33" t="s">
        <v>25</v>
      </c>
      <c r="B15" s="34" t="s">
        <v>26</v>
      </c>
      <c r="C15" s="35"/>
      <c r="D15" s="24"/>
      <c r="F15" s="33" t="s">
        <v>25</v>
      </c>
      <c r="G15" s="34" t="s">
        <v>26</v>
      </c>
      <c r="H15" s="35" t="str">
        <f>C15</f>
        <v/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/>
      <c r="D18" s="20"/>
      <c r="F18" s="41" t="s">
        <v>30</v>
      </c>
      <c r="H18" s="42" t="str">
        <f t="shared" ref="H18:H20" si="2">C18</f>
        <v/>
      </c>
      <c r="I18" s="20"/>
    </row>
    <row r="19">
      <c r="A19" s="41" t="s">
        <v>160</v>
      </c>
      <c r="C19" s="78"/>
      <c r="D19" s="24"/>
      <c r="F19" s="41" t="str">
        <f>A19</f>
        <v>Availability of Records:</v>
      </c>
      <c r="H19" s="78" t="str">
        <f t="shared" si="2"/>
        <v/>
      </c>
      <c r="I19" s="24"/>
    </row>
    <row r="20">
      <c r="A20" s="41" t="s">
        <v>34</v>
      </c>
      <c r="C20" s="46" t="str">
        <f>L22</f>
        <v>  1,084.75 </v>
      </c>
      <c r="D20" s="17"/>
      <c r="F20" s="41" t="s">
        <v>34</v>
      </c>
      <c r="H20" s="46" t="str">
        <f t="shared" si="2"/>
        <v>  1,084.75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1,084.75 </v>
      </c>
      <c r="F21" s="47" t="s">
        <v>35</v>
      </c>
      <c r="H21" s="48" t="s">
        <v>26</v>
      </c>
      <c r="I21" s="49" t="str">
        <f>SUM(H18:I20)</f>
        <v>  1,084.75 </v>
      </c>
      <c r="K21" t="s">
        <v>161</v>
      </c>
      <c r="L21" t="str">
        <f>B13/10000</f>
        <v>1.5066</v>
      </c>
      <c r="N21" t="str">
        <f>3*720</f>
        <v>2160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  <c r="L22" t="str">
        <f>L21*720</f>
        <v>1084.752</v>
      </c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tr">
        <f>C26</f>
        <v>Zoning Administrator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A24:B24"/>
    <mergeCell ref="C24:D24"/>
    <mergeCell ref="A25:B25"/>
    <mergeCell ref="C25:D25"/>
    <mergeCell ref="A20:B20"/>
    <mergeCell ref="C20:D20"/>
    <mergeCell ref="A21:B21"/>
    <mergeCell ref="A23:B23"/>
    <mergeCell ref="C23:D23"/>
    <mergeCell ref="A26:B26"/>
    <mergeCell ref="C26:D26"/>
    <mergeCell ref="A1:A3"/>
    <mergeCell ref="F1:F3"/>
    <mergeCell ref="A4:D4"/>
    <mergeCell ref="F4:I4"/>
    <mergeCell ref="A5:D5"/>
    <mergeCell ref="F5:I5"/>
    <mergeCell ref="F7:I7"/>
    <mergeCell ref="A7:D7"/>
    <mergeCell ref="A8:D8"/>
    <mergeCell ref="B9:D9"/>
    <mergeCell ref="B10:D10"/>
    <mergeCell ref="B11:D11"/>
    <mergeCell ref="B12:D12"/>
    <mergeCell ref="B13:C13"/>
    <mergeCell ref="F8:I8"/>
    <mergeCell ref="G9:I9"/>
    <mergeCell ref="G10:I10"/>
    <mergeCell ref="G11:I11"/>
    <mergeCell ref="G12:I12"/>
    <mergeCell ref="G13:H13"/>
    <mergeCell ref="G14:I14"/>
    <mergeCell ref="B14:D14"/>
    <mergeCell ref="C15:D15"/>
    <mergeCell ref="A16:D16"/>
    <mergeCell ref="A18:B18"/>
    <mergeCell ref="C18:D18"/>
    <mergeCell ref="A19:B19"/>
    <mergeCell ref="C19:D19"/>
    <mergeCell ref="F20:G20"/>
    <mergeCell ref="H20:I20"/>
    <mergeCell ref="H23:I23"/>
    <mergeCell ref="F23:G23"/>
    <mergeCell ref="F26:G26"/>
    <mergeCell ref="H26:I26"/>
    <mergeCell ref="F24:G24"/>
    <mergeCell ref="H24:I24"/>
    <mergeCell ref="F25:G25"/>
    <mergeCell ref="H25:I25"/>
    <mergeCell ref="H15:I15"/>
    <mergeCell ref="F16:I16"/>
    <mergeCell ref="F18:G18"/>
    <mergeCell ref="H18:I18"/>
    <mergeCell ref="F19:G19"/>
    <mergeCell ref="H19:I19"/>
    <mergeCell ref="F21:G21"/>
  </mergeCells>
  <printOptions/>
  <pageMargins bottom="0.75" footer="0.0" header="0.0" left="0.25" right="0.25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4.0"/>
    <col customWidth="1" min="3" max="3" width="8.71"/>
    <col customWidth="1" min="4" max="4" width="14.86"/>
    <col customWidth="1" min="5" max="5" width="4.86"/>
    <col customWidth="1" min="6" max="6" width="9.71"/>
    <col customWidth="1" min="7" max="7" width="13.71"/>
    <col customWidth="1" min="8" max="8" width="9.14"/>
    <col customWidth="1" min="9" max="9" width="14.86"/>
    <col customWidth="1" min="10" max="11" width="8.71"/>
    <col customWidth="1" min="12" max="12" width="13.71"/>
    <col customWidth="1" min="13" max="14" width="8.71"/>
  </cols>
  <sheetData>
    <row r="1">
      <c r="A1" s="1"/>
      <c r="F1" s="1"/>
    </row>
    <row r="2">
      <c r="B2" s="3" t="s">
        <v>0</v>
      </c>
      <c r="C2" s="4"/>
      <c r="D2" s="4"/>
      <c r="G2" s="3" t="s">
        <v>0</v>
      </c>
      <c r="H2" s="4"/>
      <c r="I2" s="4"/>
    </row>
    <row r="3">
      <c r="B3" s="2" t="s">
        <v>1</v>
      </c>
      <c r="C3" s="5"/>
      <c r="D3" s="5"/>
      <c r="G3" s="2" t="s">
        <v>1</v>
      </c>
      <c r="H3" s="5"/>
      <c r="I3" s="5"/>
    </row>
    <row r="4">
      <c r="A4" s="6" t="s">
        <v>2</v>
      </c>
      <c r="F4" s="6" t="s">
        <v>2</v>
      </c>
    </row>
    <row r="5">
      <c r="A5" s="7" t="s">
        <v>3</v>
      </c>
      <c r="B5" s="8"/>
      <c r="C5" s="8"/>
      <c r="D5" s="8"/>
      <c r="F5" s="7" t="s">
        <v>4</v>
      </c>
      <c r="G5" s="8"/>
      <c r="H5" s="8"/>
      <c r="I5" s="8"/>
    </row>
    <row r="6" ht="12.0" customHeight="1">
      <c r="A6" s="9" t="s">
        <v>5</v>
      </c>
      <c r="B6" s="80" t="s">
        <v>162</v>
      </c>
      <c r="C6" s="11" t="s">
        <v>7</v>
      </c>
      <c r="D6" s="81" t="s">
        <v>153</v>
      </c>
      <c r="F6" s="9" t="s">
        <v>5</v>
      </c>
      <c r="G6" s="80" t="str">
        <f>B6</f>
        <v>Sep. 20, 2022</v>
      </c>
      <c r="H6" s="11" t="s">
        <v>7</v>
      </c>
      <c r="I6" s="14" t="str">
        <f>D6</f>
        <v>2022-11-ZC</v>
      </c>
    </row>
    <row r="7">
      <c r="A7" s="15" t="s">
        <v>154</v>
      </c>
      <c r="B7" s="16"/>
      <c r="C7" s="16"/>
      <c r="D7" s="17"/>
      <c r="F7" s="15" t="s">
        <v>154</v>
      </c>
      <c r="G7" s="16"/>
      <c r="H7" s="16"/>
      <c r="I7" s="17"/>
    </row>
    <row r="8">
      <c r="A8" s="18" t="s">
        <v>11</v>
      </c>
      <c r="B8" s="19"/>
      <c r="C8" s="19"/>
      <c r="D8" s="20"/>
      <c r="F8" s="18" t="s">
        <v>11</v>
      </c>
      <c r="G8" s="19"/>
      <c r="H8" s="19"/>
      <c r="I8" s="20"/>
    </row>
    <row r="9">
      <c r="A9" s="21" t="s">
        <v>12</v>
      </c>
      <c r="B9" s="22" t="s">
        <v>155</v>
      </c>
      <c r="C9" s="23"/>
      <c r="D9" s="24"/>
      <c r="F9" s="21" t="s">
        <v>12</v>
      </c>
      <c r="G9" s="22" t="str">
        <f t="shared" ref="G9:G14" si="1">B9</f>
        <v>Ma. Elena Alarcon</v>
      </c>
      <c r="H9" s="23"/>
      <c r="I9" s="24"/>
    </row>
    <row r="10">
      <c r="A10" s="26" t="s">
        <v>15</v>
      </c>
      <c r="B10" s="22" t="s">
        <v>156</v>
      </c>
      <c r="C10" s="23"/>
      <c r="D10" s="24"/>
      <c r="F10" s="26" t="s">
        <v>15</v>
      </c>
      <c r="G10" s="22" t="str">
        <f t="shared" si="1"/>
        <v>Brgy. Canmoros, Binalbagan Negros Occidental</v>
      </c>
      <c r="H10" s="23"/>
      <c r="I10" s="24"/>
    </row>
    <row r="11">
      <c r="A11" s="26" t="s">
        <v>17</v>
      </c>
      <c r="B11" s="25" t="s">
        <v>157</v>
      </c>
      <c r="C11" s="23"/>
      <c r="D11" s="24"/>
      <c r="F11" s="26" t="s">
        <v>17</v>
      </c>
      <c r="G11" s="22" t="str">
        <f t="shared" si="1"/>
        <v>Titling</v>
      </c>
      <c r="H11" s="23"/>
      <c r="I11" s="24"/>
    </row>
    <row r="12">
      <c r="A12" s="26" t="s">
        <v>19</v>
      </c>
      <c r="B12" s="27" t="s">
        <v>158</v>
      </c>
      <c r="C12" s="23"/>
      <c r="D12" s="24"/>
      <c r="F12" s="26" t="s">
        <v>19</v>
      </c>
      <c r="G12" s="27" t="str">
        <f t="shared" si="1"/>
        <v>LOT 1-91,  Brgy. Canmoros, Bin. Neg. Occ.</v>
      </c>
      <c r="H12" s="23"/>
      <c r="I12" s="24"/>
    </row>
    <row r="13">
      <c r="A13" s="26" t="s">
        <v>21</v>
      </c>
      <c r="B13" s="82">
        <v>15066.0</v>
      </c>
      <c r="C13" s="23"/>
      <c r="D13" s="30" t="s">
        <v>22</v>
      </c>
      <c r="F13" s="26" t="s">
        <v>21</v>
      </c>
      <c r="G13" s="82" t="str">
        <f t="shared" si="1"/>
        <v>15,066.00</v>
      </c>
      <c r="H13" s="23"/>
      <c r="I13" s="30" t="s">
        <v>22</v>
      </c>
    </row>
    <row r="14">
      <c r="A14" s="31" t="s">
        <v>23</v>
      </c>
      <c r="B14" s="32" t="s">
        <v>159</v>
      </c>
      <c r="C14" s="23"/>
      <c r="D14" s="24"/>
      <c r="F14" s="31" t="s">
        <v>23</v>
      </c>
      <c r="G14" s="32" t="str">
        <f t="shared" si="1"/>
        <v>Certification only</v>
      </c>
      <c r="H14" s="23"/>
      <c r="I14" s="24"/>
    </row>
    <row r="15">
      <c r="A15" s="33" t="s">
        <v>25</v>
      </c>
      <c r="B15" s="34" t="s">
        <v>26</v>
      </c>
      <c r="C15" s="35"/>
      <c r="D15" s="24"/>
      <c r="F15" s="33" t="s">
        <v>25</v>
      </c>
      <c r="G15" s="34" t="s">
        <v>26</v>
      </c>
      <c r="H15" s="35" t="str">
        <f>C15</f>
        <v/>
      </c>
      <c r="I15" s="24"/>
    </row>
    <row r="16">
      <c r="A16" s="36" t="s">
        <v>27</v>
      </c>
      <c r="B16" s="16"/>
      <c r="C16" s="16"/>
      <c r="D16" s="17"/>
      <c r="F16" s="36" t="s">
        <v>27</v>
      </c>
      <c r="G16" s="16"/>
      <c r="H16" s="16"/>
      <c r="I16" s="17"/>
    </row>
    <row r="17">
      <c r="A17" s="37" t="s">
        <v>28</v>
      </c>
      <c r="B17" s="2"/>
      <c r="C17" s="2"/>
      <c r="D17" s="38"/>
      <c r="F17" s="37" t="s">
        <v>28</v>
      </c>
      <c r="G17" s="2"/>
      <c r="H17" s="2"/>
      <c r="I17" s="38"/>
    </row>
    <row r="18">
      <c r="A18" s="41" t="s">
        <v>30</v>
      </c>
      <c r="C18" s="42"/>
      <c r="D18" s="20"/>
      <c r="F18" s="41" t="s">
        <v>30</v>
      </c>
      <c r="H18" s="42" t="str">
        <f t="shared" ref="H18:H20" si="2">C18</f>
        <v/>
      </c>
      <c r="I18" s="20"/>
    </row>
    <row r="19">
      <c r="A19" s="41" t="s">
        <v>160</v>
      </c>
      <c r="C19" s="78"/>
      <c r="D19" s="24"/>
      <c r="F19" s="41" t="str">
        <f>A19</f>
        <v>Availability of Records:</v>
      </c>
      <c r="H19" s="78" t="str">
        <f t="shared" si="2"/>
        <v/>
      </c>
      <c r="I19" s="24"/>
    </row>
    <row r="20">
      <c r="A20" s="41" t="s">
        <v>34</v>
      </c>
      <c r="C20" s="46">
        <v>720.0</v>
      </c>
      <c r="D20" s="17"/>
      <c r="F20" s="41" t="s">
        <v>34</v>
      </c>
      <c r="H20" s="46" t="str">
        <f t="shared" si="2"/>
        <v>  720.00 </v>
      </c>
      <c r="I20" s="17"/>
    </row>
    <row r="21" ht="19.5" customHeight="1">
      <c r="A21" s="47" t="s">
        <v>35</v>
      </c>
      <c r="C21" s="48" t="s">
        <v>26</v>
      </c>
      <c r="D21" s="49" t="str">
        <f>SUM(C18:D20)</f>
        <v>  720.00 </v>
      </c>
      <c r="F21" s="47" t="s">
        <v>35</v>
      </c>
      <c r="H21" s="48" t="s">
        <v>26</v>
      </c>
      <c r="I21" s="49" t="str">
        <f>SUM(H18:I20)</f>
        <v>  720.00 </v>
      </c>
      <c r="K21" t="s">
        <v>161</v>
      </c>
      <c r="L21" t="str">
        <f>B13/10000</f>
        <v>1.5066</v>
      </c>
      <c r="N21" t="str">
        <f>3*720</f>
        <v>2160</v>
      </c>
    </row>
    <row r="22" ht="15.75" customHeight="1">
      <c r="A22" s="50"/>
      <c r="B22" s="2"/>
      <c r="C22" s="2"/>
      <c r="D22" s="38"/>
      <c r="F22" s="50"/>
      <c r="G22" s="2"/>
      <c r="H22" s="2"/>
      <c r="I22" s="38"/>
      <c r="L22" t="str">
        <f>L21*720</f>
        <v>1084.752</v>
      </c>
    </row>
    <row r="23" ht="15.75" customHeight="1">
      <c r="A23" s="51" t="s">
        <v>36</v>
      </c>
      <c r="B23" s="52"/>
      <c r="C23" s="53" t="s">
        <v>37</v>
      </c>
      <c r="D23" s="24"/>
      <c r="F23" s="51" t="s">
        <v>36</v>
      </c>
      <c r="G23" s="52"/>
      <c r="H23" s="53" t="s">
        <v>37</v>
      </c>
      <c r="I23" s="24"/>
    </row>
    <row r="24" ht="29.25" customHeight="1">
      <c r="A24" s="54"/>
      <c r="B24" s="52"/>
      <c r="C24" s="55"/>
      <c r="D24" s="24"/>
      <c r="F24" s="54"/>
      <c r="G24" s="52"/>
      <c r="H24" s="55"/>
      <c r="I24" s="24"/>
    </row>
    <row r="25" ht="15.75" customHeight="1">
      <c r="A25" s="56"/>
      <c r="B25" s="52"/>
      <c r="C25" s="57" t="s">
        <v>38</v>
      </c>
      <c r="D25" s="24"/>
      <c r="F25" s="56"/>
      <c r="G25" s="52"/>
      <c r="H25" s="57" t="s">
        <v>38</v>
      </c>
      <c r="I25" s="24"/>
    </row>
    <row r="26" ht="15.75" customHeight="1">
      <c r="A26" s="58"/>
      <c r="B26" s="59"/>
      <c r="C26" s="60" t="s">
        <v>40</v>
      </c>
      <c r="D26" s="61"/>
      <c r="F26" s="58"/>
      <c r="G26" s="59"/>
      <c r="H26" s="60" t="str">
        <f>C26</f>
        <v>Zoning Administrator</v>
      </c>
      <c r="I26" s="61"/>
    </row>
    <row r="27" ht="15.75" customHeight="1"/>
    <row r="28" ht="15.75" customHeight="1">
      <c r="A28" s="63" t="s">
        <v>41</v>
      </c>
      <c r="B28" s="63"/>
      <c r="C28" s="63"/>
      <c r="D28" s="63"/>
      <c r="F28" s="63" t="s">
        <v>41</v>
      </c>
      <c r="G28" s="63"/>
      <c r="H28" s="63"/>
      <c r="I28" s="63"/>
    </row>
    <row r="29" ht="15.75" customHeight="1">
      <c r="A29" s="63" t="s">
        <v>43</v>
      </c>
      <c r="B29" s="63"/>
      <c r="C29" s="63"/>
      <c r="D29" s="63"/>
      <c r="F29" s="63" t="s">
        <v>43</v>
      </c>
      <c r="G29" s="63"/>
      <c r="H29" s="63"/>
      <c r="I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6">
    <mergeCell ref="F19:G19"/>
    <mergeCell ref="F18:G18"/>
    <mergeCell ref="F24:G24"/>
    <mergeCell ref="F25:G25"/>
    <mergeCell ref="H19:I19"/>
    <mergeCell ref="F20:G20"/>
    <mergeCell ref="H20:I20"/>
    <mergeCell ref="F21:G21"/>
    <mergeCell ref="H18:I18"/>
    <mergeCell ref="F7:I7"/>
    <mergeCell ref="F8:I8"/>
    <mergeCell ref="F16:I16"/>
    <mergeCell ref="G13:H13"/>
    <mergeCell ref="G14:I14"/>
    <mergeCell ref="H15:I15"/>
    <mergeCell ref="G10:I10"/>
    <mergeCell ref="G11:I11"/>
    <mergeCell ref="G12:I12"/>
    <mergeCell ref="G9:I9"/>
    <mergeCell ref="A26:B26"/>
    <mergeCell ref="C26:D26"/>
    <mergeCell ref="F26:G26"/>
    <mergeCell ref="H26:I26"/>
    <mergeCell ref="C24:D24"/>
    <mergeCell ref="H24:I24"/>
    <mergeCell ref="C25:D25"/>
    <mergeCell ref="H25:I25"/>
    <mergeCell ref="A23:B23"/>
    <mergeCell ref="C23:D23"/>
    <mergeCell ref="H23:I23"/>
    <mergeCell ref="F23:G23"/>
    <mergeCell ref="A19:B19"/>
    <mergeCell ref="A18:B18"/>
    <mergeCell ref="A24:B24"/>
    <mergeCell ref="A25:B25"/>
    <mergeCell ref="C19:D19"/>
    <mergeCell ref="A20:B20"/>
    <mergeCell ref="C20:D20"/>
    <mergeCell ref="A21:B21"/>
    <mergeCell ref="C18:D18"/>
    <mergeCell ref="A7:D7"/>
    <mergeCell ref="A8:D8"/>
    <mergeCell ref="A1:A3"/>
    <mergeCell ref="F1:F3"/>
    <mergeCell ref="A4:D4"/>
    <mergeCell ref="F4:I4"/>
    <mergeCell ref="A5:D5"/>
    <mergeCell ref="F5:I5"/>
    <mergeCell ref="A16:D16"/>
    <mergeCell ref="B13:C13"/>
    <mergeCell ref="B14:D14"/>
    <mergeCell ref="C15:D15"/>
    <mergeCell ref="B10:D10"/>
    <mergeCell ref="B11:D11"/>
    <mergeCell ref="B12:D12"/>
    <mergeCell ref="B9:D9"/>
  </mergeCells>
  <printOptions/>
  <pageMargins bottom="0.75" footer="0.0" header="0.0" left="0.25" right="0.25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6.14"/>
    <col customWidth="1" min="3" max="3" width="32.86"/>
    <col customWidth="1" min="4" max="4" width="36.43"/>
    <col customWidth="1" min="5" max="5" width="46.29"/>
    <col customWidth="1" min="6" max="6" width="21.71"/>
    <col customWidth="1" min="7" max="11" width="8.71"/>
  </cols>
  <sheetData>
    <row r="1">
      <c r="A1" s="83" t="s">
        <v>163</v>
      </c>
      <c r="B1" s="83" t="s">
        <v>164</v>
      </c>
      <c r="C1" s="83" t="s">
        <v>165</v>
      </c>
      <c r="D1" s="83" t="s">
        <v>166</v>
      </c>
      <c r="E1" s="83" t="s">
        <v>167</v>
      </c>
      <c r="F1" s="84" t="s">
        <v>168</v>
      </c>
    </row>
    <row r="2">
      <c r="A2" t="s">
        <v>76</v>
      </c>
      <c r="B2" t="s">
        <v>169</v>
      </c>
      <c r="C2" t="s">
        <v>170</v>
      </c>
      <c r="D2" t="s">
        <v>171</v>
      </c>
      <c r="E2" s="39" t="s">
        <v>171</v>
      </c>
      <c r="F2" s="39">
        <v>1703.0</v>
      </c>
    </row>
    <row r="3">
      <c r="A3" t="s">
        <v>172</v>
      </c>
      <c r="B3" t="s">
        <v>169</v>
      </c>
      <c r="C3" t="s">
        <v>173</v>
      </c>
      <c r="D3" t="s">
        <v>174</v>
      </c>
      <c r="E3" s="39" t="s">
        <v>175</v>
      </c>
      <c r="F3" s="39">
        <v>1735.0</v>
      </c>
    </row>
    <row r="4">
      <c r="A4" t="s">
        <v>176</v>
      </c>
      <c r="B4" t="s">
        <v>169</v>
      </c>
      <c r="C4" t="s">
        <v>177</v>
      </c>
      <c r="D4" t="s">
        <v>178</v>
      </c>
      <c r="E4" t="s">
        <v>127</v>
      </c>
      <c r="F4" s="39">
        <v>1601.0</v>
      </c>
    </row>
    <row r="5">
      <c r="A5" t="s">
        <v>179</v>
      </c>
      <c r="B5" t="s">
        <v>180</v>
      </c>
      <c r="C5" s="2" t="s">
        <v>181</v>
      </c>
      <c r="D5" s="2" t="s">
        <v>182</v>
      </c>
      <c r="E5" s="2" t="s">
        <v>183</v>
      </c>
      <c r="F5" s="39">
        <v>5040.0</v>
      </c>
      <c r="G5" s="2"/>
    </row>
    <row r="6">
      <c r="A6" t="s">
        <v>184</v>
      </c>
      <c r="B6" t="s">
        <v>169</v>
      </c>
      <c r="C6" s="2" t="s">
        <v>185</v>
      </c>
      <c r="D6" s="2" t="s">
        <v>186</v>
      </c>
      <c r="E6" s="2" t="s">
        <v>186</v>
      </c>
      <c r="F6" s="39">
        <v>2457.0</v>
      </c>
    </row>
    <row r="7">
      <c r="A7" t="s">
        <v>187</v>
      </c>
      <c r="B7" t="s">
        <v>169</v>
      </c>
      <c r="C7" s="2" t="s">
        <v>188</v>
      </c>
      <c r="D7" s="2" t="s">
        <v>186</v>
      </c>
      <c r="E7" s="2" t="s">
        <v>189</v>
      </c>
      <c r="F7" s="39">
        <v>1725.78</v>
      </c>
    </row>
    <row r="8">
      <c r="A8" t="s">
        <v>190</v>
      </c>
      <c r="B8" t="s">
        <v>191</v>
      </c>
      <c r="C8" s="2" t="s">
        <v>192</v>
      </c>
      <c r="D8" s="2" t="s">
        <v>193</v>
      </c>
      <c r="E8" s="2" t="s">
        <v>194</v>
      </c>
      <c r="F8" s="39"/>
    </row>
    <row r="9">
      <c r="A9" t="s">
        <v>195</v>
      </c>
      <c r="B9" t="s">
        <v>180</v>
      </c>
      <c r="C9" s="2" t="s">
        <v>196</v>
      </c>
      <c r="D9" s="2" t="s">
        <v>197</v>
      </c>
      <c r="E9" s="2" t="s">
        <v>198</v>
      </c>
      <c r="F9" s="39"/>
    </row>
    <row r="10">
      <c r="A10" t="s">
        <v>199</v>
      </c>
      <c r="B10" t="s">
        <v>169</v>
      </c>
      <c r="C10" s="2" t="s">
        <v>200</v>
      </c>
      <c r="D10" s="2" t="s">
        <v>201</v>
      </c>
      <c r="E10" s="2" t="s">
        <v>189</v>
      </c>
      <c r="F10" s="39">
        <v>1076.0</v>
      </c>
    </row>
    <row r="11">
      <c r="A11" t="s">
        <v>202</v>
      </c>
      <c r="B11" t="s">
        <v>180</v>
      </c>
      <c r="C11" s="2" t="s">
        <v>203</v>
      </c>
      <c r="D11" s="2" t="s">
        <v>204</v>
      </c>
      <c r="E11" s="2" t="s">
        <v>204</v>
      </c>
      <c r="F11" s="39"/>
      <c r="I11" s="85"/>
      <c r="J11" s="30"/>
    </row>
    <row r="12">
      <c r="A12" t="s">
        <v>205</v>
      </c>
      <c r="B12" t="s">
        <v>169</v>
      </c>
      <c r="C12" s="2" t="s">
        <v>206</v>
      </c>
      <c r="D12" s="2" t="s">
        <v>193</v>
      </c>
      <c r="E12" s="2" t="s">
        <v>207</v>
      </c>
      <c r="F12" s="39">
        <v>1757.71</v>
      </c>
    </row>
    <row r="13">
      <c r="A13" t="s">
        <v>208</v>
      </c>
      <c r="B13" t="s">
        <v>169</v>
      </c>
      <c r="C13" s="2" t="s">
        <v>209</v>
      </c>
      <c r="D13" s="2" t="s">
        <v>210</v>
      </c>
      <c r="E13" s="2" t="s">
        <v>211</v>
      </c>
      <c r="F13" s="39">
        <v>1927.78</v>
      </c>
    </row>
    <row r="14">
      <c r="A14" t="s">
        <v>212</v>
      </c>
      <c r="B14" t="s">
        <v>169</v>
      </c>
      <c r="C14" s="2" t="s">
        <v>206</v>
      </c>
      <c r="D14" s="2" t="s">
        <v>213</v>
      </c>
      <c r="E14" s="2" t="s">
        <v>213</v>
      </c>
      <c r="F14" s="39">
        <v>1757.71</v>
      </c>
    </row>
    <row r="15">
      <c r="A15" t="s">
        <v>214</v>
      </c>
      <c r="B15" t="s">
        <v>180</v>
      </c>
      <c r="C15" s="2" t="s">
        <v>215</v>
      </c>
      <c r="D15" s="2" t="s">
        <v>216</v>
      </c>
      <c r="E15" s="2" t="s">
        <v>217</v>
      </c>
      <c r="F15" s="39">
        <v>2660.0</v>
      </c>
    </row>
    <row r="16">
      <c r="A16" t="s">
        <v>218</v>
      </c>
      <c r="C16" s="2"/>
      <c r="D16" s="2"/>
      <c r="E16" s="2"/>
      <c r="F16" s="39"/>
    </row>
    <row r="17">
      <c r="A17" t="s">
        <v>219</v>
      </c>
      <c r="F17" s="39"/>
    </row>
    <row r="18">
      <c r="A18" t="s">
        <v>220</v>
      </c>
      <c r="F18" s="39"/>
    </row>
    <row r="19">
      <c r="A19" t="s">
        <v>221</v>
      </c>
      <c r="F19" s="39"/>
    </row>
    <row r="20">
      <c r="A20" t="s">
        <v>222</v>
      </c>
      <c r="F20" s="39"/>
    </row>
    <row r="21" ht="15.75" customHeight="1">
      <c r="A21" t="s">
        <v>223</v>
      </c>
      <c r="F21" s="39"/>
    </row>
    <row r="22" ht="15.75" customHeight="1">
      <c r="A22" t="s">
        <v>224</v>
      </c>
      <c r="F22" s="39"/>
    </row>
    <row r="23" ht="15.75" customHeight="1">
      <c r="A23" t="s">
        <v>225</v>
      </c>
      <c r="F23" s="39"/>
    </row>
    <row r="24" ht="15.75" customHeight="1">
      <c r="A24" t="s">
        <v>226</v>
      </c>
      <c r="F24" s="39"/>
    </row>
    <row r="25" ht="15.75" customHeight="1">
      <c r="A25" t="s">
        <v>227</v>
      </c>
      <c r="F25" s="39"/>
    </row>
    <row r="26" ht="15.75" customHeight="1">
      <c r="A26" t="s">
        <v>228</v>
      </c>
      <c r="F26" s="39"/>
    </row>
    <row r="27" ht="15.75" customHeight="1">
      <c r="A27" t="s">
        <v>229</v>
      </c>
      <c r="F27" s="39"/>
    </row>
    <row r="28" ht="15.75" customHeight="1">
      <c r="A28" t="s">
        <v>230</v>
      </c>
      <c r="F28" s="39"/>
    </row>
    <row r="29" ht="15.75" customHeight="1">
      <c r="A29" t="s">
        <v>231</v>
      </c>
      <c r="F29" s="39"/>
    </row>
    <row r="30" ht="15.75" customHeight="1">
      <c r="F30" s="39"/>
    </row>
    <row r="31" ht="15.75" customHeight="1">
      <c r="F31" s="39"/>
    </row>
    <row r="32" ht="15.75" customHeight="1">
      <c r="F32" s="39"/>
    </row>
    <row r="33" ht="15.75" customHeight="1">
      <c r="F33" s="39"/>
    </row>
    <row r="34" ht="15.75" customHeight="1">
      <c r="F34" s="39"/>
    </row>
    <row r="35" ht="15.75" customHeight="1">
      <c r="F35" s="39"/>
    </row>
    <row r="36" ht="15.75" customHeight="1">
      <c r="F36" s="39"/>
    </row>
    <row r="37" ht="15.75" customHeight="1">
      <c r="F37" s="39"/>
    </row>
    <row r="38" ht="15.75" customHeight="1">
      <c r="F38" s="39"/>
    </row>
    <row r="39" ht="15.75" customHeight="1">
      <c r="F39" s="39"/>
    </row>
    <row r="40" ht="15.75" customHeight="1">
      <c r="F40" s="39"/>
    </row>
    <row r="41" ht="15.75" customHeight="1">
      <c r="F41" s="39"/>
    </row>
    <row r="42" ht="15.75" customHeight="1">
      <c r="F42" s="39"/>
    </row>
    <row r="43" ht="15.75" customHeight="1">
      <c r="F43" s="39"/>
    </row>
    <row r="44" ht="15.75" customHeight="1">
      <c r="F44" s="39"/>
    </row>
    <row r="45" ht="15.75" customHeight="1">
      <c r="F45" s="39"/>
    </row>
    <row r="46" ht="15.75" customHeight="1">
      <c r="F46" s="39"/>
    </row>
    <row r="47" ht="15.75" customHeight="1">
      <c r="F47" s="39"/>
    </row>
    <row r="48" ht="15.75" customHeight="1">
      <c r="F48" s="39"/>
    </row>
    <row r="49" ht="15.75" customHeight="1">
      <c r="F49" s="39"/>
    </row>
    <row r="50" ht="15.75" customHeight="1">
      <c r="F50" s="39"/>
    </row>
    <row r="51" ht="15.75" customHeight="1">
      <c r="F51" s="39"/>
    </row>
    <row r="52" ht="15.75" customHeight="1">
      <c r="F52" s="39"/>
    </row>
    <row r="53" ht="15.75" customHeight="1">
      <c r="F53" s="39"/>
    </row>
    <row r="54" ht="15.75" customHeight="1">
      <c r="F54" s="39"/>
    </row>
    <row r="55" ht="15.75" customHeight="1">
      <c r="F55" s="39"/>
    </row>
    <row r="56" ht="15.75" customHeight="1">
      <c r="F56" s="39"/>
    </row>
    <row r="57" ht="15.75" customHeight="1">
      <c r="F57" s="39"/>
    </row>
    <row r="58" ht="15.75" customHeight="1">
      <c r="F58" s="39"/>
    </row>
    <row r="59" ht="15.75" customHeight="1">
      <c r="F59" s="39"/>
    </row>
    <row r="60" ht="15.75" customHeight="1">
      <c r="F60" s="39"/>
    </row>
    <row r="61" ht="15.75" customHeight="1">
      <c r="F61" s="39"/>
    </row>
    <row r="62" ht="15.75" customHeight="1">
      <c r="F62" s="39"/>
    </row>
    <row r="63" ht="15.75" customHeight="1">
      <c r="F63" s="39"/>
    </row>
    <row r="64" ht="15.75" customHeight="1">
      <c r="F64" s="39"/>
    </row>
    <row r="65" ht="15.75" customHeight="1">
      <c r="F65" s="39"/>
    </row>
    <row r="66" ht="15.75" customHeight="1">
      <c r="F66" s="39"/>
    </row>
    <row r="67" ht="15.75" customHeight="1">
      <c r="F67" s="39"/>
    </row>
    <row r="68" ht="15.75" customHeight="1">
      <c r="F68" s="39"/>
    </row>
    <row r="69" ht="15.75" customHeight="1">
      <c r="F69" s="39"/>
    </row>
    <row r="70" ht="15.75" customHeight="1">
      <c r="F70" s="39"/>
    </row>
    <row r="71" ht="15.75" customHeight="1">
      <c r="F71" s="39"/>
    </row>
    <row r="72" ht="15.75" customHeight="1">
      <c r="F72" s="39"/>
    </row>
    <row r="73" ht="15.75" customHeight="1">
      <c r="F73" s="39"/>
    </row>
    <row r="74" ht="15.75" customHeight="1">
      <c r="F74" s="39"/>
    </row>
    <row r="75" ht="15.75" customHeight="1">
      <c r="F75" s="39"/>
    </row>
    <row r="76" ht="15.75" customHeight="1">
      <c r="F76" s="39"/>
    </row>
    <row r="77" ht="15.75" customHeight="1">
      <c r="F77" s="39"/>
    </row>
    <row r="78" ht="15.75" customHeight="1">
      <c r="F78" s="39"/>
    </row>
    <row r="79" ht="15.75" customHeight="1">
      <c r="F79" s="39"/>
    </row>
    <row r="80" ht="15.75" customHeight="1">
      <c r="F80" s="39"/>
    </row>
    <row r="81" ht="15.75" customHeight="1">
      <c r="F81" s="39"/>
    </row>
    <row r="82" ht="15.75" customHeight="1">
      <c r="F82" s="39"/>
    </row>
    <row r="83" ht="15.75" customHeight="1">
      <c r="F83" s="39"/>
    </row>
    <row r="84" ht="15.75" customHeight="1">
      <c r="F84" s="39"/>
    </row>
    <row r="85" ht="15.75" customHeight="1">
      <c r="F85" s="39"/>
    </row>
    <row r="86" ht="15.75" customHeight="1">
      <c r="F86" s="39"/>
    </row>
    <row r="87" ht="15.75" customHeight="1">
      <c r="F87" s="39"/>
    </row>
    <row r="88" ht="15.75" customHeight="1">
      <c r="F88" s="39"/>
    </row>
    <row r="89" ht="15.75" customHeight="1">
      <c r="F89" s="39"/>
    </row>
    <row r="90" ht="15.75" customHeight="1">
      <c r="F90" s="39"/>
    </row>
    <row r="91" ht="15.75" customHeight="1">
      <c r="F91" s="39"/>
    </row>
    <row r="92" ht="15.75" customHeight="1">
      <c r="F92" s="39"/>
    </row>
    <row r="93" ht="15.75" customHeight="1">
      <c r="F93" s="39"/>
    </row>
    <row r="94" ht="15.75" customHeight="1">
      <c r="F94" s="39"/>
    </row>
    <row r="95" ht="15.75" customHeight="1">
      <c r="F95" s="39"/>
    </row>
    <row r="96" ht="15.75" customHeight="1">
      <c r="F96" s="39"/>
    </row>
    <row r="97" ht="15.75" customHeight="1">
      <c r="F97" s="39"/>
    </row>
    <row r="98" ht="15.75" customHeight="1">
      <c r="F98" s="39"/>
    </row>
    <row r="99" ht="15.75" customHeight="1">
      <c r="F99" s="39"/>
    </row>
    <row r="100" ht="15.75" customHeight="1">
      <c r="F100" s="39"/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21</vt:i4>
      </vt:variant>
    </vt:vector>
  </HeadingPairs>
  <TitlesOfParts>
    <vt:vector baseType="lpstr" size="21">
      <vt:lpstr>Residential-200K+</vt:lpstr>
      <vt:lpstr>Residential-100K+</vt:lpstr>
      <vt:lpstr>Residential-100K</vt:lpstr>
      <vt:lpstr>ApartmentTownhouse-2M+</vt:lpstr>
      <vt:lpstr>ApartmentTownhouse-500K+</vt:lpstr>
      <vt:lpstr>ApartmentTownhouse-500K</vt:lpstr>
      <vt:lpstr>Dormitories-2M+</vt:lpstr>
      <vt:lpstr>Dormitories-2M</vt:lpstr>
      <vt:lpstr>Comm'l,Ind'l,AgroInd'l-2M+</vt:lpstr>
      <vt:lpstr>Comm'l,Ind'l,AgroInd'-1M+</vt:lpstr>
      <vt:lpstr>Comm'l,Ind'l,AgroInd'-500K+</vt:lpstr>
      <vt:lpstr>Comm'l,Ind'l,AgroInd'-100K+</vt:lpstr>
      <vt:lpstr>Comm'l,Ind'l,AgroInd'-100K</vt:lpstr>
      <vt:lpstr>Institutional-2M+</vt:lpstr>
      <vt:lpstr>Institutional-2M</vt:lpstr>
      <vt:lpstr>SpecialUse-2M+</vt:lpstr>
      <vt:lpstr>SpecialUse-2M</vt:lpstr>
      <vt:lpstr>CERTIFICATION ONLY</vt:lpstr>
      <vt:lpstr>CERTIFICATION ONLY (2)</vt:lpstr>
      <vt:lpstr>Sheet3</vt:lpstr>
      <vt:lpstr>SUM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2019-09-10T17:57:50Z</dcterms:created>
  <dc:creator>MARK</dc:creator>
  <cp:lastModifiedBy>User</cp:lastModifiedBy>
  <cp:lastPrinted>2022-10-20T00:59:48Z</cp:lastPrinted>
  <dcterms:modified xsi:type="dcterms:W3CDTF">2022-11-14T02:34:40Z</dcterms:modified>
</cp:coreProperties>
</file>